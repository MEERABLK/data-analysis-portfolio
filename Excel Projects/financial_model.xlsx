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2388387\Downloads\"/>
    </mc:Choice>
  </mc:AlternateContent>
  <xr:revisionPtr revIDLastSave="0" documentId="8_{3760A6EB-C7E7-474B-8F49-876B8611CFD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ompound Interest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8" i="1" l="1"/>
  <c r="I35" i="1"/>
  <c r="B24" i="1"/>
  <c r="B23" i="1"/>
  <c r="I33" i="1"/>
  <c r="I34" i="1" s="1"/>
  <c r="D28" i="1"/>
  <c r="E30" i="1"/>
  <c r="D30" i="1"/>
  <c r="G27" i="1"/>
  <c r="D17" i="1"/>
  <c r="H11" i="1"/>
  <c r="D11" i="1" s="1"/>
  <c r="F11" i="1"/>
  <c r="H10" i="1"/>
  <c r="F10" i="1"/>
  <c r="H9" i="1"/>
  <c r="F9" i="1"/>
  <c r="D9" i="1" s="1"/>
  <c r="D18" i="1"/>
  <c r="J18" i="1" s="1"/>
  <c r="K18" i="1" s="1"/>
  <c r="H21" i="1"/>
  <c r="F21" i="1"/>
  <c r="D21" i="1"/>
  <c r="J21" i="1" s="1"/>
  <c r="K21" i="1" s="1"/>
  <c r="H20" i="1"/>
  <c r="F20" i="1"/>
  <c r="D20" i="1" s="1"/>
  <c r="J20" i="1" s="1"/>
  <c r="K20" i="1" s="1"/>
  <c r="H19" i="1"/>
  <c r="F19" i="1"/>
  <c r="H18" i="1"/>
  <c r="F18" i="1"/>
  <c r="H17" i="1"/>
  <c r="F17" i="1"/>
  <c r="C4" i="1"/>
  <c r="H7" i="1"/>
  <c r="J7" i="1" s="1"/>
  <c r="F7" i="1"/>
  <c r="C7" i="1"/>
  <c r="H6" i="1"/>
  <c r="J6" i="1" s="1"/>
  <c r="F6" i="1"/>
  <c r="H5" i="1"/>
  <c r="J5" i="1" s="1"/>
  <c r="F5" i="1"/>
  <c r="F4" i="1"/>
  <c r="H4" i="1"/>
  <c r="J4" i="1" s="1"/>
  <c r="D10" i="1" l="1"/>
  <c r="K4" i="1"/>
  <c r="D19" i="1"/>
  <c r="J19" i="1" s="1"/>
  <c r="K19" i="1" s="1"/>
  <c r="J17" i="1"/>
  <c r="K17" i="1" s="1"/>
  <c r="C6" i="1"/>
  <c r="K6" i="1" s="1"/>
  <c r="C5" i="1"/>
  <c r="K5" i="1" s="1"/>
  <c r="K7" i="1"/>
  <c r="J9" i="1"/>
  <c r="K9" i="1" s="1"/>
  <c r="J10" i="1"/>
  <c r="K10" i="1" s="1"/>
  <c r="J11" i="1"/>
  <c r="K11" i="1" s="1"/>
  <c r="C31" i="1" l="1"/>
  <c r="D31" i="1" s="1"/>
  <c r="E31" i="1" l="1"/>
  <c r="C32" i="1" s="1"/>
  <c r="D32" i="1" s="1"/>
  <c r="E32" i="1" s="1"/>
  <c r="C33" i="1" l="1"/>
  <c r="D33" i="1" l="1"/>
  <c r="E33" i="1" l="1"/>
  <c r="C34" i="1"/>
  <c r="D34" i="1" l="1"/>
  <c r="E34" i="1" s="1"/>
  <c r="C35" i="1" s="1"/>
  <c r="D35" i="1" l="1"/>
  <c r="E35" i="1" l="1"/>
  <c r="C36" i="1" s="1"/>
  <c r="D36" i="1" l="1"/>
  <c r="E36" i="1" s="1"/>
  <c r="C37" i="1" s="1"/>
  <c r="D37" i="1" l="1"/>
  <c r="E37" i="1" s="1"/>
  <c r="C38" i="1" s="1"/>
  <c r="D38" i="1" s="1"/>
  <c r="E38" i="1" s="1"/>
  <c r="C39" i="1" s="1"/>
  <c r="D39" i="1" l="1"/>
  <c r="E39" i="1"/>
  <c r="C40" i="1" s="1"/>
  <c r="D40" i="1" l="1"/>
  <c r="E40" i="1" s="1"/>
  <c r="C41" i="1" s="1"/>
  <c r="D41" i="1" l="1"/>
  <c r="E41" i="1"/>
  <c r="C42" i="1" s="1"/>
  <c r="D42" i="1" s="1"/>
  <c r="E42" i="1" l="1"/>
  <c r="C43" i="1" s="1"/>
  <c r="D43" i="1" s="1"/>
  <c r="E43" i="1" l="1"/>
  <c r="C44" i="1" s="1"/>
  <c r="D44" i="1" l="1"/>
  <c r="E44" i="1" l="1"/>
  <c r="C45" i="1" s="1"/>
  <c r="D45" i="1" l="1"/>
  <c r="E45" i="1" s="1"/>
  <c r="C46" i="1" s="1"/>
  <c r="D46" i="1" l="1"/>
  <c r="E46" i="1" s="1"/>
  <c r="C47" i="1" s="1"/>
  <c r="D47" i="1" l="1"/>
  <c r="E47" i="1" l="1"/>
  <c r="C48" i="1" s="1"/>
  <c r="D48" i="1" l="1"/>
  <c r="E48" i="1" l="1"/>
  <c r="C49" i="1" s="1"/>
  <c r="D49" i="1" l="1"/>
  <c r="E49" i="1"/>
  <c r="C50" i="1" l="1"/>
  <c r="D50" i="1"/>
  <c r="E50" i="1" s="1"/>
  <c r="C51" i="1" s="1"/>
  <c r="D51" i="1" l="1"/>
  <c r="E51" i="1" l="1"/>
  <c r="C52" i="1" s="1"/>
  <c r="D52" i="1" l="1"/>
  <c r="E52" i="1"/>
  <c r="C53" i="1" s="1"/>
  <c r="D53" i="1" l="1"/>
  <c r="E53" i="1"/>
  <c r="C54" i="1" s="1"/>
  <c r="D54" i="1" l="1"/>
  <c r="E54" i="1" s="1"/>
  <c r="C55" i="1" s="1"/>
  <c r="D55" i="1" l="1"/>
  <c r="E55" i="1"/>
  <c r="C56" i="1" s="1"/>
  <c r="D56" i="1" l="1"/>
  <c r="E56" i="1" s="1"/>
  <c r="C57" i="1" s="1"/>
  <c r="D57" i="1" s="1"/>
  <c r="E57" i="1" s="1"/>
  <c r="C58" i="1" s="1"/>
  <c r="D58" i="1" l="1"/>
  <c r="E58" i="1"/>
  <c r="C59" i="1" s="1"/>
  <c r="D59" i="1" l="1"/>
  <c r="E59" i="1"/>
  <c r="C60" i="1" l="1"/>
  <c r="D60" i="1" l="1"/>
  <c r="E60" i="1"/>
  <c r="C61" i="1" s="1"/>
  <c r="D61" i="1" s="1"/>
  <c r="E61" i="1" s="1"/>
  <c r="C62" i="1" s="1"/>
  <c r="D62" i="1" l="1"/>
  <c r="E62" i="1"/>
  <c r="C63" i="1" s="1"/>
  <c r="D63" i="1" s="1"/>
  <c r="E63" i="1" s="1"/>
  <c r="C64" i="1" s="1"/>
  <c r="D64" i="1" l="1"/>
  <c r="E64" i="1" s="1"/>
  <c r="C65" i="1" s="1"/>
  <c r="D65" i="1" l="1"/>
  <c r="E65" i="1"/>
  <c r="C66" i="1" s="1"/>
  <c r="D66" i="1" l="1"/>
  <c r="E66" i="1" s="1"/>
  <c r="C67" i="1" s="1"/>
  <c r="D67" i="1" l="1"/>
  <c r="E67" i="1"/>
  <c r="C68" i="1" s="1"/>
  <c r="D68" i="1" l="1"/>
  <c r="E68" i="1" s="1"/>
  <c r="C69" i="1" s="1"/>
  <c r="D69" i="1" l="1"/>
  <c r="E69" i="1"/>
  <c r="C70" i="1" s="1"/>
  <c r="D70" i="1" l="1"/>
  <c r="E70" i="1"/>
  <c r="C71" i="1" s="1"/>
  <c r="D71" i="1" l="1"/>
  <c r="E71" i="1"/>
  <c r="C72" i="1" s="1"/>
  <c r="D72" i="1" l="1"/>
  <c r="E72" i="1"/>
  <c r="C73" i="1" l="1"/>
  <c r="D73" i="1" s="1"/>
  <c r="E73" i="1" s="1"/>
  <c r="C74" i="1" s="1"/>
  <c r="D74" i="1" l="1"/>
  <c r="E74" i="1"/>
  <c r="C75" i="1" l="1"/>
  <c r="D75" i="1" l="1"/>
  <c r="E75" i="1" l="1"/>
  <c r="C76" i="1" s="1"/>
  <c r="D76" i="1" l="1"/>
  <c r="E76" i="1" s="1"/>
  <c r="C77" i="1" s="1"/>
  <c r="D77" i="1" s="1"/>
  <c r="E77" i="1" s="1"/>
  <c r="C78" i="1" s="1"/>
  <c r="D78" i="1" l="1"/>
  <c r="E78" i="1"/>
  <c r="C79" i="1" s="1"/>
  <c r="D79" i="1" l="1"/>
  <c r="E79" i="1"/>
  <c r="C80" i="1" s="1"/>
  <c r="D80" i="1" s="1"/>
  <c r="E80" i="1" s="1"/>
  <c r="C81" i="1" s="1"/>
  <c r="D81" i="1" l="1"/>
  <c r="E81" i="1" s="1"/>
  <c r="C82" i="1" s="1"/>
  <c r="D82" i="1" l="1"/>
  <c r="E82" i="1" s="1"/>
  <c r="C83" i="1" s="1"/>
  <c r="D83" i="1" l="1"/>
  <c r="E83" i="1"/>
  <c r="C84" i="1" s="1"/>
  <c r="D84" i="1" l="1"/>
  <c r="E84" i="1"/>
  <c r="C85" i="1" s="1"/>
  <c r="D85" i="1" l="1"/>
  <c r="E85" i="1" l="1"/>
  <c r="C86" i="1" s="1"/>
  <c r="D86" i="1" l="1"/>
  <c r="E86" i="1"/>
  <c r="C87" i="1" s="1"/>
  <c r="D87" i="1" l="1"/>
  <c r="E87" i="1"/>
  <c r="C88" i="1" s="1"/>
  <c r="D88" i="1" l="1"/>
  <c r="E88" i="1" s="1"/>
  <c r="C89" i="1" l="1"/>
  <c r="D89" i="1" s="1"/>
  <c r="E89" i="1" s="1"/>
  <c r="C90" i="1" s="1"/>
  <c r="D90" i="1" l="1"/>
  <c r="E90" i="1"/>
  <c r="C91" i="1" s="1"/>
  <c r="D91" i="1" l="1"/>
  <c r="E91" i="1" l="1"/>
  <c r="C92" i="1" s="1"/>
  <c r="D92" i="1" l="1"/>
  <c r="E92" i="1"/>
  <c r="C93" i="1" s="1"/>
  <c r="D93" i="1" s="1"/>
  <c r="E93" i="1" s="1"/>
  <c r="C94" i="1" s="1"/>
  <c r="D94" i="1" l="1"/>
  <c r="E94" i="1"/>
  <c r="C95" i="1" s="1"/>
  <c r="D95" i="1" l="1"/>
  <c r="E95" i="1"/>
  <c r="C96" i="1"/>
  <c r="D96" i="1" s="1"/>
  <c r="E96" i="1" s="1"/>
  <c r="C97" i="1" s="1"/>
  <c r="D97" i="1" s="1"/>
  <c r="E97" i="1" l="1"/>
  <c r="C98" i="1" s="1"/>
  <c r="D98" i="1" l="1"/>
  <c r="E98" i="1" l="1"/>
  <c r="C99" i="1" s="1"/>
  <c r="D99" i="1" l="1"/>
  <c r="E99" i="1" l="1"/>
  <c r="C100" i="1" s="1"/>
  <c r="D100" i="1" l="1"/>
  <c r="E100" i="1"/>
  <c r="C101" i="1" s="1"/>
  <c r="D101" i="1" l="1"/>
  <c r="E101" i="1" l="1"/>
  <c r="C102" i="1" s="1"/>
  <c r="D102" i="1" l="1"/>
  <c r="E102" i="1" s="1"/>
  <c r="C103" i="1" l="1"/>
  <c r="D103" i="1" l="1"/>
  <c r="E103" i="1" l="1"/>
  <c r="C104" i="1" s="1"/>
  <c r="D104" i="1" l="1"/>
  <c r="E104" i="1"/>
  <c r="C105" i="1" l="1"/>
  <c r="D105" i="1" s="1"/>
  <c r="E105" i="1" s="1"/>
  <c r="C106" i="1" s="1"/>
  <c r="D106" i="1" l="1"/>
  <c r="E106" i="1"/>
  <c r="C107" i="1" l="1"/>
  <c r="D107" i="1"/>
  <c r="E107" i="1"/>
  <c r="C108" i="1" l="1"/>
  <c r="D108" i="1"/>
  <c r="E108" i="1" l="1"/>
  <c r="C109" i="1" s="1"/>
  <c r="D109" i="1" l="1"/>
  <c r="E109" i="1" s="1"/>
  <c r="C110" i="1" s="1"/>
  <c r="D110" i="1" l="1"/>
  <c r="E110" i="1" l="1"/>
  <c r="C111" i="1" s="1"/>
  <c r="D111" i="1" l="1"/>
  <c r="E111" i="1"/>
  <c r="C112" i="1" l="1"/>
  <c r="D112" i="1" s="1"/>
  <c r="E112" i="1" s="1"/>
  <c r="C113" i="1" l="1"/>
  <c r="D113" i="1" l="1"/>
  <c r="E113" i="1" s="1"/>
  <c r="C114" i="1" l="1"/>
  <c r="D114" i="1"/>
  <c r="E114" i="1" l="1"/>
  <c r="C115" i="1" s="1"/>
  <c r="D115" i="1" l="1"/>
  <c r="E115" i="1" l="1"/>
  <c r="C116" i="1" s="1"/>
  <c r="D116" i="1" l="1"/>
  <c r="E116" i="1"/>
  <c r="C117" i="1" s="1"/>
  <c r="D117" i="1" l="1"/>
  <c r="E117" i="1" l="1"/>
  <c r="C118" i="1" s="1"/>
  <c r="D118" i="1" l="1"/>
  <c r="E118" i="1" l="1"/>
  <c r="C119" i="1" s="1"/>
  <c r="D119" i="1" l="1"/>
  <c r="E119" i="1" l="1"/>
  <c r="C120" i="1" s="1"/>
  <c r="D120" i="1" l="1"/>
  <c r="E120" i="1"/>
  <c r="C121" i="1" l="1"/>
  <c r="D121" i="1"/>
  <c r="E121" i="1" s="1"/>
  <c r="C122" i="1" s="1"/>
  <c r="D122" i="1" l="1"/>
  <c r="E122" i="1" s="1"/>
  <c r="C123" i="1" s="1"/>
  <c r="D123" i="1" l="1"/>
  <c r="E123" i="1"/>
  <c r="C124" i="1" l="1"/>
  <c r="D124" i="1"/>
  <c r="E124" i="1" l="1"/>
  <c r="C125" i="1" s="1"/>
  <c r="D125" i="1" l="1"/>
  <c r="E125" i="1" s="1"/>
  <c r="C126" i="1" s="1"/>
  <c r="D126" i="1" l="1"/>
  <c r="E126" i="1" l="1"/>
  <c r="C127" i="1" s="1"/>
  <c r="D127" i="1" l="1"/>
  <c r="E127" i="1" l="1"/>
  <c r="C128" i="1" s="1"/>
  <c r="D128" i="1" l="1"/>
  <c r="E128" i="1" s="1"/>
  <c r="C129" i="1" l="1"/>
  <c r="D129" i="1" l="1"/>
  <c r="E129" i="1"/>
  <c r="C130" i="1" s="1"/>
  <c r="D130" i="1" l="1"/>
  <c r="E130" i="1" l="1"/>
  <c r="C131" i="1" s="1"/>
  <c r="D131" i="1" l="1"/>
  <c r="E131" i="1" l="1"/>
  <c r="C132" i="1" s="1"/>
  <c r="D132" i="1" l="1"/>
  <c r="E132" i="1"/>
  <c r="C133" i="1" s="1"/>
  <c r="D133" i="1" l="1"/>
  <c r="E133" i="1" l="1"/>
  <c r="C134" i="1" s="1"/>
  <c r="D134" i="1" l="1"/>
  <c r="E134" i="1" l="1"/>
  <c r="C135" i="1" s="1"/>
  <c r="D135" i="1" l="1"/>
  <c r="E135" i="1" l="1"/>
  <c r="C136" i="1" s="1"/>
  <c r="D136" i="1" l="1"/>
  <c r="E136" i="1"/>
  <c r="C137" i="1" l="1"/>
  <c r="D137" i="1"/>
  <c r="E137" i="1" s="1"/>
  <c r="C138" i="1" s="1"/>
  <c r="D138" i="1" l="1"/>
  <c r="E138" i="1" l="1"/>
  <c r="C139" i="1" s="1"/>
  <c r="D139" i="1" l="1"/>
  <c r="E139" i="1"/>
  <c r="C140" i="1" l="1"/>
  <c r="D140" i="1"/>
  <c r="E140" i="1" l="1"/>
  <c r="C141" i="1" s="1"/>
  <c r="D141" i="1" l="1"/>
  <c r="E141" i="1" s="1"/>
  <c r="C142" i="1" s="1"/>
  <c r="D142" i="1" l="1"/>
  <c r="E142" i="1" l="1"/>
  <c r="C143" i="1" s="1"/>
  <c r="D143" i="1" l="1"/>
  <c r="E143" i="1" l="1"/>
  <c r="C144" i="1" s="1"/>
  <c r="D144" i="1" l="1"/>
  <c r="E144" i="1" s="1"/>
  <c r="C145" i="1" s="1"/>
  <c r="D145" i="1" l="1"/>
  <c r="E145" i="1" l="1"/>
  <c r="C146" i="1" s="1"/>
  <c r="D146" i="1" l="1"/>
  <c r="E146" i="1" l="1"/>
  <c r="C147" i="1" s="1"/>
  <c r="D147" i="1" l="1"/>
  <c r="E147" i="1" l="1"/>
  <c r="C148" i="1" s="1"/>
  <c r="D148" i="1" l="1"/>
  <c r="E148" i="1"/>
  <c r="C149" i="1" s="1"/>
  <c r="D149" i="1" l="1"/>
  <c r="E149" i="1" l="1"/>
  <c r="C150" i="1" s="1"/>
  <c r="D150" i="1" l="1"/>
  <c r="E150" i="1" l="1"/>
  <c r="C151" i="1" s="1"/>
  <c r="D151" i="1" l="1"/>
  <c r="E151" i="1" l="1"/>
  <c r="C152" i="1" s="1"/>
  <c r="D152" i="1" l="1"/>
  <c r="E152" i="1"/>
  <c r="C153" i="1" l="1"/>
  <c r="D153" i="1"/>
  <c r="E153" i="1" s="1"/>
  <c r="C154" i="1" s="1"/>
  <c r="D154" i="1" l="1"/>
  <c r="E154" i="1"/>
  <c r="C155" i="1" s="1"/>
  <c r="D155" i="1" l="1"/>
  <c r="E155" i="1"/>
  <c r="C156" i="1" l="1"/>
  <c r="D156" i="1" s="1"/>
  <c r="E156" i="1" l="1"/>
  <c r="C157" i="1" s="1"/>
  <c r="D157" i="1" l="1"/>
  <c r="E157" i="1" s="1"/>
  <c r="C158" i="1" s="1"/>
  <c r="D158" i="1" l="1"/>
  <c r="E158" i="1" l="1"/>
  <c r="C159" i="1" s="1"/>
  <c r="D159" i="1" l="1"/>
  <c r="E159" i="1" l="1"/>
  <c r="C160" i="1" s="1"/>
  <c r="D160" i="1" l="1"/>
  <c r="E160" i="1" s="1"/>
  <c r="C161" i="1" s="1"/>
  <c r="D161" i="1" l="1"/>
  <c r="E161" i="1"/>
  <c r="C162" i="1" l="1"/>
  <c r="D162" i="1"/>
  <c r="E162" i="1" l="1"/>
  <c r="C163" i="1" s="1"/>
  <c r="D163" i="1" l="1"/>
  <c r="E163" i="1" l="1"/>
  <c r="C164" i="1" s="1"/>
  <c r="D164" i="1" l="1"/>
  <c r="E164" i="1"/>
  <c r="C165" i="1" s="1"/>
  <c r="D165" i="1" l="1"/>
  <c r="E165" i="1" l="1"/>
  <c r="C166" i="1" s="1"/>
  <c r="D166" i="1" l="1"/>
  <c r="E166" i="1" l="1"/>
  <c r="C167" i="1" s="1"/>
  <c r="D167" i="1" l="1"/>
  <c r="E167" i="1" l="1"/>
  <c r="C168" i="1" s="1"/>
  <c r="D168" i="1" l="1"/>
  <c r="E168" i="1"/>
  <c r="C169" i="1" l="1"/>
  <c r="D169" i="1" s="1"/>
  <c r="E169" i="1" s="1"/>
  <c r="C170" i="1" s="1"/>
  <c r="D170" i="1" l="1"/>
  <c r="E170" i="1"/>
  <c r="C171" i="1" s="1"/>
  <c r="D171" i="1" l="1"/>
  <c r="E171" i="1"/>
  <c r="C172" i="1" l="1"/>
  <c r="D172" i="1"/>
  <c r="E172" i="1" l="1"/>
  <c r="C173" i="1" s="1"/>
  <c r="D173" i="1" l="1"/>
  <c r="E173" i="1" s="1"/>
  <c r="C174" i="1" s="1"/>
  <c r="D174" i="1" l="1"/>
  <c r="E174" i="1" l="1"/>
  <c r="C175" i="1" s="1"/>
  <c r="D175" i="1" l="1"/>
  <c r="E175" i="1" s="1"/>
  <c r="C176" i="1" l="1"/>
  <c r="D176" i="1" l="1"/>
  <c r="E176" i="1" l="1"/>
  <c r="C177" i="1" s="1"/>
  <c r="D177" i="1" l="1"/>
  <c r="E177" i="1" l="1"/>
  <c r="C178" i="1" s="1"/>
  <c r="D178" i="1" l="1"/>
  <c r="E178" i="1" l="1"/>
  <c r="C179" i="1" s="1"/>
  <c r="D179" i="1" l="1"/>
  <c r="E179" i="1" l="1"/>
  <c r="C180" i="1" s="1"/>
  <c r="D180" i="1" l="1"/>
  <c r="E180" i="1"/>
  <c r="C181" i="1" s="1"/>
  <c r="D181" i="1" l="1"/>
  <c r="E181" i="1"/>
  <c r="C182" i="1" l="1"/>
  <c r="D182" i="1"/>
  <c r="E182" i="1" l="1"/>
  <c r="C183" i="1" s="1"/>
  <c r="D183" i="1" l="1"/>
  <c r="E183" i="1" l="1"/>
  <c r="C184" i="1" s="1"/>
  <c r="D184" i="1" l="1"/>
  <c r="E184" i="1"/>
  <c r="C185" i="1" l="1"/>
  <c r="D185" i="1" s="1"/>
  <c r="E185" i="1" s="1"/>
  <c r="C186" i="1" s="1"/>
  <c r="D186" i="1" l="1"/>
  <c r="E186" i="1" l="1"/>
  <c r="C187" i="1" s="1"/>
  <c r="D187" i="1" l="1"/>
  <c r="E187" i="1" l="1"/>
  <c r="C188" i="1" s="1"/>
  <c r="D188" i="1" l="1"/>
  <c r="E188" i="1" l="1"/>
  <c r="C189" i="1" s="1"/>
  <c r="D189" i="1" l="1"/>
  <c r="E189" i="1" s="1"/>
  <c r="C190" i="1" s="1"/>
  <c r="D190" i="1" l="1"/>
  <c r="E190" i="1" l="1"/>
  <c r="C191" i="1" s="1"/>
  <c r="D191" i="1" l="1"/>
  <c r="E191" i="1" l="1"/>
  <c r="C192" i="1" s="1"/>
  <c r="D192" i="1" l="1"/>
  <c r="E192" i="1" l="1"/>
  <c r="C193" i="1" s="1"/>
  <c r="D193" i="1" l="1"/>
  <c r="E193" i="1" l="1"/>
  <c r="C194" i="1" s="1"/>
  <c r="D194" i="1" l="1"/>
  <c r="E194" i="1" l="1"/>
  <c r="C195" i="1" s="1"/>
  <c r="D195" i="1" l="1"/>
  <c r="E195" i="1" l="1"/>
  <c r="C196" i="1" s="1"/>
  <c r="D196" i="1" l="1"/>
  <c r="E196" i="1"/>
  <c r="C197" i="1" s="1"/>
  <c r="D197" i="1" l="1"/>
  <c r="E197" i="1" l="1"/>
  <c r="C198" i="1" s="1"/>
  <c r="D198" i="1" l="1"/>
  <c r="E198" i="1"/>
  <c r="C199" i="1" s="1"/>
  <c r="D199" i="1" l="1"/>
  <c r="E199" i="1" l="1"/>
  <c r="C200" i="1" s="1"/>
  <c r="D200" i="1" l="1"/>
  <c r="E200" i="1"/>
  <c r="C201" i="1" l="1"/>
  <c r="D201" i="1"/>
  <c r="E201" i="1" s="1"/>
  <c r="C202" i="1" l="1"/>
  <c r="D202" i="1" l="1"/>
  <c r="E202" i="1" s="1"/>
  <c r="C203" i="1" s="1"/>
  <c r="D203" i="1" l="1"/>
  <c r="E203" i="1"/>
  <c r="C204" i="1" s="1"/>
  <c r="D204" i="1" s="1"/>
  <c r="E204" i="1" s="1"/>
  <c r="C205" i="1" s="1"/>
  <c r="D205" i="1" s="1"/>
  <c r="E205" i="1" s="1"/>
  <c r="C206" i="1" s="1"/>
  <c r="D206" i="1" l="1"/>
  <c r="E206" i="1"/>
  <c r="C207" i="1" s="1"/>
  <c r="D207" i="1" l="1"/>
  <c r="E207" i="1" s="1"/>
  <c r="C208" i="1"/>
  <c r="D208" i="1" l="1"/>
  <c r="E208" i="1" s="1"/>
  <c r="C209" i="1"/>
  <c r="D209" i="1" l="1"/>
  <c r="E209" i="1"/>
  <c r="C210" i="1" s="1"/>
  <c r="D210" i="1" l="1"/>
  <c r="E210" i="1"/>
  <c r="C211" i="1" s="1"/>
  <c r="D211" i="1" l="1"/>
  <c r="E211" i="1"/>
  <c r="C212" i="1" s="1"/>
  <c r="D212" i="1" l="1"/>
  <c r="E212" i="1"/>
  <c r="C213" i="1" s="1"/>
  <c r="D213" i="1" l="1"/>
  <c r="E213" i="1"/>
  <c r="C214" i="1" s="1"/>
  <c r="D214" i="1" l="1"/>
  <c r="E214" i="1"/>
  <c r="C215" i="1" s="1"/>
  <c r="D215" i="1" s="1"/>
  <c r="E215" i="1" s="1"/>
  <c r="C216" i="1" s="1"/>
  <c r="D216" i="1" l="1"/>
  <c r="E216" i="1" s="1"/>
  <c r="C217" i="1" s="1"/>
  <c r="D217" i="1" s="1"/>
  <c r="E217" i="1" s="1"/>
  <c r="C218" i="1" s="1"/>
  <c r="D218" i="1" l="1"/>
  <c r="E218" i="1"/>
  <c r="C219" i="1" l="1"/>
  <c r="D219" i="1" s="1"/>
  <c r="E219" i="1" s="1"/>
  <c r="C220" i="1" s="1"/>
  <c r="D220" i="1" l="1"/>
  <c r="E220" i="1"/>
  <c r="C221" i="1" s="1"/>
  <c r="D221" i="1" l="1"/>
  <c r="E221" i="1"/>
  <c r="C222" i="1" s="1"/>
  <c r="D222" i="1" l="1"/>
  <c r="E222" i="1"/>
  <c r="C223" i="1" s="1"/>
  <c r="D223" i="1" s="1"/>
  <c r="E223" i="1" s="1"/>
  <c r="C224" i="1" s="1"/>
  <c r="D224" i="1" l="1"/>
  <c r="E224" i="1"/>
  <c r="C225" i="1" s="1"/>
  <c r="D225" i="1" l="1"/>
  <c r="E225" i="1"/>
  <c r="C226" i="1" s="1"/>
  <c r="D226" i="1" l="1"/>
  <c r="E226" i="1"/>
  <c r="C227" i="1" s="1"/>
  <c r="D227" i="1" l="1"/>
  <c r="E227" i="1" l="1"/>
  <c r="C228" i="1" s="1"/>
  <c r="D228" i="1" l="1"/>
  <c r="E228" i="1"/>
  <c r="C229" i="1" s="1"/>
  <c r="D229" i="1" l="1"/>
  <c r="E229" i="1" s="1"/>
  <c r="C230" i="1" s="1"/>
  <c r="D230" i="1" l="1"/>
  <c r="E230" i="1"/>
  <c r="C231" i="1" s="1"/>
  <c r="D231" i="1" s="1"/>
  <c r="E231" i="1" l="1"/>
  <c r="I30" i="1" s="1"/>
  <c r="I31" i="1"/>
</calcChain>
</file>

<file path=xl/sharedStrings.xml><?xml version="1.0" encoding="utf-8"?>
<sst xmlns="http://schemas.openxmlformats.org/spreadsheetml/2006/main" count="53" uniqueCount="41">
  <si>
    <t>total</t>
  </si>
  <si>
    <t>PV</t>
  </si>
  <si>
    <t>FV</t>
  </si>
  <si>
    <t>PMT</t>
  </si>
  <si>
    <t>Annual Rate</t>
  </si>
  <si>
    <t>RATE</t>
  </si>
  <si>
    <t>Num Years</t>
  </si>
  <si>
    <t>NPER</t>
  </si>
  <si>
    <t>Months per Year</t>
  </si>
  <si>
    <t>deposits</t>
  </si>
  <si>
    <t>interest</t>
  </si>
  <si>
    <t>1 a</t>
  </si>
  <si>
    <t>1 b</t>
  </si>
  <si>
    <t>1 c</t>
  </si>
  <si>
    <t>payments</t>
  </si>
  <si>
    <t>2 a</t>
  </si>
  <si>
    <t>2 b</t>
  </si>
  <si>
    <t>2 c i</t>
  </si>
  <si>
    <t>payment difference between 20 and 30 years amortization</t>
  </si>
  <si>
    <t>interest difference between 20 and 30 years amortization</t>
  </si>
  <si>
    <t>annual rate</t>
  </si>
  <si>
    <t>3ai</t>
  </si>
  <si>
    <t>months</t>
  </si>
  <si>
    <t>months per year</t>
  </si>
  <si>
    <t>years</t>
  </si>
  <si>
    <t>monthly rate</t>
  </si>
  <si>
    <t>npmt</t>
  </si>
  <si>
    <t>balance</t>
  </si>
  <si>
    <t>payment</t>
  </si>
  <si>
    <t>3 a ii</t>
  </si>
  <si>
    <t>total payments</t>
  </si>
  <si>
    <t>3 a iii</t>
  </si>
  <si>
    <t>total interest</t>
  </si>
  <si>
    <t>3 b i</t>
  </si>
  <si>
    <t>balance after 1 year</t>
  </si>
  <si>
    <t>3 b ii</t>
  </si>
  <si>
    <t>principle paid</t>
  </si>
  <si>
    <t>3 b iii</t>
  </si>
  <si>
    <t>interest paid</t>
  </si>
  <si>
    <t>Meerab Khan</t>
  </si>
  <si>
    <t>Date : 11/2/2023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</si>
</sst>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$&quot;#,##0.00_);[Red]\(&quot;$&quot;#,##0.00\)"/>
    <numFmt numFmtId="44" formatCode="_(&quot;$&quot;* #,##0.00_);_(&quot;$&quot;* \(#,##0.00\);_(&quot;$&quot;* &quot;-&quot;??_);_(@_)"/>
    <numFmt numFmtId="164" formatCode="&quot;$&quot;#,##0;[Red]\-&quot;$&quot;#,##0"/>
    <numFmt numFmtId="165" formatCode="&quot;$&quot;#,##0.00;[Red]\-&quot;$&quot;#,##0.00"/>
  </numFmts>
  <fonts count="7" x14ac:knownFonts="1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FFCC99"/>
      </patternFill>
    </fill>
  </fills>
  <borders count="18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4"/>
      </left>
      <right style="thin">
        <color rgb="FF3F3F3F"/>
      </right>
      <top style="thin">
        <color indexed="64"/>
      </top>
      <bottom/>
      <diagonal/>
    </border>
    <border>
      <left style="thin">
        <color rgb="FF7F7F7F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rgb="FF3F3F3F"/>
      </right>
      <top/>
      <bottom style="thin">
        <color indexed="64"/>
      </bottom>
      <diagonal/>
    </border>
    <border>
      <left style="thin">
        <color rgb="FF7F7F7F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rgb="FF3F3F3F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3F3F3F"/>
      </left>
      <right/>
      <top style="thin">
        <color rgb="FF3F3F3F"/>
      </top>
      <bottom style="thin">
        <color rgb="FF3F3F3F"/>
      </bottom>
      <diagonal/>
    </border>
    <border>
      <left style="thin">
        <color rgb="FF3F3F3F"/>
      </left>
      <right style="thin">
        <color rgb="FF3F3F3F"/>
      </right>
      <top/>
      <bottom style="thin">
        <color rgb="FF3F3F3F"/>
      </bottom>
      <diagonal/>
    </border>
  </borders>
  <cellStyleXfs count="6">
    <xf numFmtId="0" fontId="0" fillId="0" borderId="0"/>
    <xf numFmtId="0" fontId="1" fillId="0" borderId="0" applyNumberFormat="0" applyFill="0" applyBorder="0" applyAlignment="0" applyProtection="0"/>
    <xf numFmtId="0" fontId="2" fillId="2" borderId="1" applyNumberFormat="0" applyAlignment="0" applyProtection="0"/>
    <xf numFmtId="0" fontId="4" fillId="3" borderId="1" applyNumberFormat="0" applyAlignment="0" applyProtection="0"/>
    <xf numFmtId="0" fontId="5" fillId="2" borderId="8" applyNumberFormat="0" applyAlignment="0" applyProtection="0"/>
    <xf numFmtId="44" fontId="6" fillId="0" borderId="0" applyFont="0" applyFill="0" applyBorder="0" applyAlignment="0" applyProtection="0"/>
  </cellStyleXfs>
  <cellXfs count="37">
    <xf numFmtId="0" fontId="0" fillId="0" borderId="0" xfId="0"/>
    <xf numFmtId="0" fontId="2" fillId="2" borderId="1" xfId="2"/>
    <xf numFmtId="165" fontId="2" fillId="2" borderId="1" xfId="2" applyNumberFormat="1"/>
    <xf numFmtId="165" fontId="0" fillId="0" borderId="0" xfId="0" applyNumberFormat="1"/>
    <xf numFmtId="164" fontId="2" fillId="2" borderId="1" xfId="2" applyNumberFormat="1"/>
    <xf numFmtId="0" fontId="0" fillId="0" borderId="5" xfId="0" applyBorder="1"/>
    <xf numFmtId="0" fontId="0" fillId="0" borderId="6" xfId="0" applyBorder="1"/>
    <xf numFmtId="0" fontId="0" fillId="0" borderId="0" xfId="0" quotePrefix="1"/>
    <xf numFmtId="164" fontId="0" fillId="0" borderId="0" xfId="0" applyNumberFormat="1"/>
    <xf numFmtId="0" fontId="3" fillId="0" borderId="0" xfId="0" applyFont="1"/>
    <xf numFmtId="0" fontId="3" fillId="0" borderId="0" xfId="0" quotePrefix="1" applyFont="1"/>
    <xf numFmtId="0" fontId="2" fillId="2" borderId="2" xfId="2" applyBorder="1"/>
    <xf numFmtId="10" fontId="0" fillId="0" borderId="0" xfId="0" applyNumberFormat="1"/>
    <xf numFmtId="0" fontId="4" fillId="3" borderId="1" xfId="3"/>
    <xf numFmtId="0" fontId="1" fillId="0" borderId="4" xfId="1" applyBorder="1" applyAlignment="1">
      <alignment horizontal="center"/>
    </xf>
    <xf numFmtId="0" fontId="1" fillId="0" borderId="2" xfId="1" applyBorder="1" applyAlignment="1">
      <alignment horizontal="center"/>
    </xf>
    <xf numFmtId="0" fontId="5" fillId="2" borderId="8" xfId="4"/>
    <xf numFmtId="10" fontId="2" fillId="2" borderId="1" xfId="2" applyNumberFormat="1"/>
    <xf numFmtId="0" fontId="5" fillId="2" borderId="10" xfId="4" applyBorder="1"/>
    <xf numFmtId="0" fontId="2" fillId="2" borderId="11" xfId="2" applyBorder="1"/>
    <xf numFmtId="0" fontId="5" fillId="2" borderId="12" xfId="4" applyBorder="1"/>
    <xf numFmtId="0" fontId="2" fillId="2" borderId="13" xfId="2" applyBorder="1"/>
    <xf numFmtId="0" fontId="5" fillId="2" borderId="14" xfId="4" applyBorder="1"/>
    <xf numFmtId="0" fontId="2" fillId="2" borderId="15" xfId="2" applyBorder="1"/>
    <xf numFmtId="0" fontId="5" fillId="2" borderId="17" xfId="4" applyBorder="1"/>
    <xf numFmtId="0" fontId="0" fillId="0" borderId="2" xfId="0" applyBorder="1"/>
    <xf numFmtId="10" fontId="0" fillId="0" borderId="2" xfId="0" applyNumberFormat="1" applyBorder="1"/>
    <xf numFmtId="10" fontId="2" fillId="2" borderId="2" xfId="2" applyNumberFormat="1" applyBorder="1"/>
    <xf numFmtId="8" fontId="0" fillId="0" borderId="0" xfId="5" applyNumberFormat="1" applyFont="1"/>
    <xf numFmtId="8" fontId="0" fillId="0" borderId="0" xfId="0" applyNumberFormat="1"/>
    <xf numFmtId="8" fontId="5" fillId="2" borderId="8" xfId="4" applyNumberFormat="1"/>
    <xf numFmtId="8" fontId="5" fillId="2" borderId="9" xfId="4" applyNumberFormat="1" applyBorder="1"/>
    <xf numFmtId="8" fontId="5" fillId="2" borderId="16" xfId="4" applyNumberFormat="1" applyBorder="1"/>
    <xf numFmtId="0" fontId="5" fillId="2" borderId="8" xfId="4" applyNumberFormat="1"/>
    <xf numFmtId="0" fontId="1" fillId="0" borderId="7" xfId="1" applyBorder="1" applyAlignment="1">
      <alignment horizontal="center"/>
    </xf>
    <xf numFmtId="0" fontId="1" fillId="0" borderId="3" xfId="1" applyBorder="1" applyAlignment="1">
      <alignment horizontal="center"/>
    </xf>
    <xf numFmtId="0" fontId="5" fillId="2" borderId="2" xfId="4" applyBorder="1" applyAlignment="1">
      <alignment horizontal="left"/>
    </xf>
  </cellXfs>
  <cellStyles count="6">
    <cellStyle name="Calculation" xfId="2" builtinId="22"/>
    <cellStyle name="Currency" xfId="5" builtinId="4"/>
    <cellStyle name="Heading 4" xfId="1" builtinId="19"/>
    <cellStyle name="Input" xfId="3" builtinId="20"/>
    <cellStyle name="Normal" xfId="0" builtinId="0"/>
    <cellStyle name="Output" xfId="4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341"/>
  <sheetViews>
    <sheetView showFormulas="1" tabSelected="1" zoomScaleNormal="100" workbookViewId="0">
      <selection activeCell="B1" sqref="B1"/>
    </sheetView>
  </sheetViews>
  <sheetFormatPr defaultRowHeight="15" x14ac:dyDescent="0.25"/>
  <cols>
    <col min="1" max="1" width="8.140625" customWidth="1"/>
    <col min="2" max="2" width="13.5703125" bestFit="1" customWidth="1"/>
    <col min="3" max="3" width="15.42578125" customWidth="1"/>
    <col min="4" max="4" width="11" bestFit="1" customWidth="1"/>
    <col min="5" max="5" width="11.7109375" bestFit="1" customWidth="1"/>
    <col min="6" max="6" width="6.140625" customWidth="1"/>
    <col min="7" max="7" width="10.5703125" bestFit="1" customWidth="1"/>
    <col min="8" max="8" width="7.7109375" bestFit="1" customWidth="1"/>
    <col min="9" max="9" width="15.85546875" bestFit="1" customWidth="1"/>
    <col min="10" max="10" width="14.28515625" bestFit="1" customWidth="1"/>
    <col min="11" max="11" width="20" bestFit="1" customWidth="1"/>
  </cols>
  <sheetData>
    <row r="1" spans="1:11" x14ac:dyDescent="0.25">
      <c r="A1" t="s">
        <v>39</v>
      </c>
    </row>
    <row r="2" spans="1:11" x14ac:dyDescent="0.25">
      <c r="A2" t="s">
        <v>40</v>
      </c>
      <c r="B2" s="5"/>
      <c r="C2" s="5"/>
      <c r="D2" s="5"/>
      <c r="E2" s="5"/>
      <c r="F2" s="5"/>
      <c r="G2" s="5"/>
      <c r="H2" s="5"/>
      <c r="I2" s="6"/>
      <c r="J2" s="34" t="s">
        <v>0</v>
      </c>
      <c r="K2" s="35"/>
    </row>
    <row r="3" spans="1:11" x14ac:dyDescent="0.25">
      <c r="B3" s="14" t="s">
        <v>1</v>
      </c>
      <c r="C3" s="14" t="s">
        <v>2</v>
      </c>
      <c r="D3" s="14" t="s">
        <v>3</v>
      </c>
      <c r="E3" s="14" t="s">
        <v>4</v>
      </c>
      <c r="F3" s="14" t="s">
        <v>5</v>
      </c>
      <c r="G3" s="14" t="s">
        <v>6</v>
      </c>
      <c r="H3" s="14" t="s">
        <v>7</v>
      </c>
      <c r="I3" s="14" t="s">
        <v>8</v>
      </c>
      <c r="J3" s="15" t="s">
        <v>9</v>
      </c>
      <c r="K3" s="15" t="s">
        <v>10</v>
      </c>
    </row>
    <row r="4" spans="1:11" x14ac:dyDescent="0.25">
      <c r="A4" s="7" t="s">
        <v>11</v>
      </c>
      <c r="B4" s="29">
        <v>0</v>
      </c>
      <c r="C4" s="30">
        <f>FV(F4,H4,D4,B4)</f>
        <v>1745503.9156843706</v>
      </c>
      <c r="D4" s="28">
        <v>-500</v>
      </c>
      <c r="E4" s="12">
        <v>0.08</v>
      </c>
      <c r="F4" s="17">
        <f>E4/I4</f>
        <v>6.6666666666666671E-3</v>
      </c>
      <c r="G4" s="13">
        <v>40</v>
      </c>
      <c r="H4" s="1">
        <f>G4*I4</f>
        <v>480</v>
      </c>
      <c r="I4">
        <v>12</v>
      </c>
      <c r="J4" s="30">
        <f>D4*H4</f>
        <v>-240000</v>
      </c>
      <c r="K4" s="30">
        <f>C4+J4</f>
        <v>1505503.9156843706</v>
      </c>
    </row>
    <row r="5" spans="1:11" x14ac:dyDescent="0.25">
      <c r="A5" t="s">
        <v>12</v>
      </c>
      <c r="B5" s="29">
        <v>0</v>
      </c>
      <c r="C5" s="30">
        <f t="shared" ref="C5:C7" si="0">FV(F5,H5,D5,B5)</f>
        <v>745179.72433167149</v>
      </c>
      <c r="D5" s="28">
        <v>-500</v>
      </c>
      <c r="E5" s="12">
        <v>0.08</v>
      </c>
      <c r="F5" s="17">
        <f t="shared" ref="F5:F7" si="1">E5/I5</f>
        <v>6.6666666666666671E-3</v>
      </c>
      <c r="G5" s="13">
        <v>30</v>
      </c>
      <c r="H5" s="1">
        <f t="shared" ref="H5:H7" si="2">G5*I5</f>
        <v>360</v>
      </c>
      <c r="I5">
        <v>12</v>
      </c>
      <c r="J5" s="30">
        <f t="shared" ref="J5:J7" si="3">D5*H5</f>
        <v>-180000</v>
      </c>
      <c r="K5" s="30">
        <f t="shared" ref="K5:K7" si="4">C5+J5</f>
        <v>565179.72433167149</v>
      </c>
    </row>
    <row r="6" spans="1:11" x14ac:dyDescent="0.25">
      <c r="B6" s="29">
        <v>0</v>
      </c>
      <c r="C6" s="30">
        <f t="shared" si="0"/>
        <v>294510.20781072858</v>
      </c>
      <c r="D6" s="28">
        <v>-500</v>
      </c>
      <c r="E6" s="12">
        <v>0.08</v>
      </c>
      <c r="F6" s="17">
        <f t="shared" si="1"/>
        <v>6.6666666666666671E-3</v>
      </c>
      <c r="G6" s="13">
        <v>20</v>
      </c>
      <c r="H6" s="1">
        <f t="shared" si="2"/>
        <v>240</v>
      </c>
      <c r="I6">
        <v>12</v>
      </c>
      <c r="J6" s="30">
        <f t="shared" si="3"/>
        <v>-120000</v>
      </c>
      <c r="K6" s="30">
        <f t="shared" si="4"/>
        <v>174510.20781072858</v>
      </c>
    </row>
    <row r="7" spans="1:11" x14ac:dyDescent="0.25">
      <c r="B7" s="29">
        <v>0</v>
      </c>
      <c r="C7" s="30">
        <f t="shared" si="0"/>
        <v>91473.017590853575</v>
      </c>
      <c r="D7" s="28">
        <v>-500</v>
      </c>
      <c r="E7" s="12">
        <v>0.08</v>
      </c>
      <c r="F7" s="17">
        <f t="shared" si="1"/>
        <v>6.6666666666666671E-3</v>
      </c>
      <c r="G7" s="13">
        <v>10</v>
      </c>
      <c r="H7" s="1">
        <f t="shared" si="2"/>
        <v>120</v>
      </c>
      <c r="I7">
        <v>12</v>
      </c>
      <c r="J7" s="30">
        <f t="shared" si="3"/>
        <v>-60000</v>
      </c>
      <c r="K7" s="30">
        <f t="shared" si="4"/>
        <v>31473.017590853575</v>
      </c>
    </row>
    <row r="8" spans="1:11" x14ac:dyDescent="0.25">
      <c r="B8" s="29"/>
      <c r="C8" s="29"/>
      <c r="D8" s="28"/>
      <c r="E8" s="12"/>
      <c r="F8" s="12"/>
      <c r="G8" s="12"/>
      <c r="H8" s="12"/>
      <c r="I8" s="12"/>
      <c r="J8" s="29"/>
      <c r="K8" s="29"/>
    </row>
    <row r="9" spans="1:11" x14ac:dyDescent="0.25">
      <c r="A9" s="9" t="s">
        <v>13</v>
      </c>
      <c r="B9" s="29">
        <v>0</v>
      </c>
      <c r="C9" s="30">
        <v>1745503.92</v>
      </c>
      <c r="D9" s="30">
        <f>PMT(F9,H9,B9,C9)</f>
        <v>-1171.1966006358061</v>
      </c>
      <c r="E9" s="12">
        <v>0.08</v>
      </c>
      <c r="F9" s="17">
        <f>E9/I9</f>
        <v>6.6666666666666671E-3</v>
      </c>
      <c r="G9" s="13">
        <v>30</v>
      </c>
      <c r="H9" s="1">
        <f>G9*I9</f>
        <v>360</v>
      </c>
      <c r="I9">
        <v>12</v>
      </c>
      <c r="J9" s="30">
        <f>D9*H9</f>
        <v>-421630.77622889023</v>
      </c>
      <c r="K9" s="30">
        <f>C9+J9</f>
        <v>1323873.1437711096</v>
      </c>
    </row>
    <row r="10" spans="1:11" x14ac:dyDescent="0.25">
      <c r="A10" s="9"/>
      <c r="B10" s="29">
        <v>0</v>
      </c>
      <c r="C10" s="30">
        <v>1745503.92</v>
      </c>
      <c r="D10" s="30">
        <f>PMT(F10,H10,B10,C10)</f>
        <v>-2963.4013927315987</v>
      </c>
      <c r="E10" s="12">
        <v>0.08</v>
      </c>
      <c r="F10" s="17">
        <f t="shared" ref="F10:F11" si="5">E10/I10</f>
        <v>6.6666666666666671E-3</v>
      </c>
      <c r="G10" s="13">
        <v>20</v>
      </c>
      <c r="H10" s="1">
        <f t="shared" ref="H10:H11" si="6">G10*I10</f>
        <v>240</v>
      </c>
      <c r="I10">
        <v>12</v>
      </c>
      <c r="J10" s="30">
        <f t="shared" ref="J10:J11" si="7">D10*H10</f>
        <v>-711216.3342555837</v>
      </c>
      <c r="K10" s="30">
        <f t="shared" ref="K10:K11" si="8">C10+J10</f>
        <v>1034287.5857444162</v>
      </c>
    </row>
    <row r="11" spans="1:11" x14ac:dyDescent="0.25">
      <c r="A11" s="9"/>
      <c r="B11" s="29">
        <v>0</v>
      </c>
      <c r="C11" s="30">
        <v>1745503.92</v>
      </c>
      <c r="D11" s="30">
        <f>PMT(F11,H11,B11,C11)</f>
        <v>-9541.0863551445382</v>
      </c>
      <c r="E11" s="12">
        <v>0.08</v>
      </c>
      <c r="F11" s="17">
        <f t="shared" si="5"/>
        <v>6.6666666666666671E-3</v>
      </c>
      <c r="G11" s="13">
        <v>10</v>
      </c>
      <c r="H11" s="1">
        <f t="shared" si="6"/>
        <v>120</v>
      </c>
      <c r="I11">
        <v>12</v>
      </c>
      <c r="J11" s="30">
        <f t="shared" si="7"/>
        <v>-1144930.3626173446</v>
      </c>
      <c r="K11" s="30">
        <f t="shared" si="8"/>
        <v>600573.55738265533</v>
      </c>
    </row>
    <row r="12" spans="1:11" x14ac:dyDescent="0.25">
      <c r="A12" s="9"/>
    </row>
    <row r="13" spans="1:11" x14ac:dyDescent="0.25">
      <c r="A13" s="9"/>
    </row>
    <row r="14" spans="1:11" x14ac:dyDescent="0.25">
      <c r="A14" s="9"/>
    </row>
    <row r="15" spans="1:11" x14ac:dyDescent="0.25">
      <c r="A15" s="9"/>
      <c r="B15" s="5"/>
      <c r="C15" s="5"/>
      <c r="D15" s="5"/>
      <c r="E15" s="5"/>
      <c r="F15" s="5"/>
      <c r="G15" s="5"/>
      <c r="H15" s="5"/>
      <c r="I15" s="6"/>
      <c r="J15" s="34" t="s">
        <v>0</v>
      </c>
      <c r="K15" s="35"/>
    </row>
    <row r="16" spans="1:11" x14ac:dyDescent="0.25">
      <c r="A16" s="9"/>
      <c r="B16" s="14" t="s">
        <v>1</v>
      </c>
      <c r="C16" s="14" t="s">
        <v>2</v>
      </c>
      <c r="D16" s="14" t="s">
        <v>3</v>
      </c>
      <c r="E16" s="14" t="s">
        <v>4</v>
      </c>
      <c r="F16" s="14" t="s">
        <v>5</v>
      </c>
      <c r="G16" s="14" t="s">
        <v>6</v>
      </c>
      <c r="H16" s="14" t="s">
        <v>7</v>
      </c>
      <c r="I16" s="14" t="s">
        <v>8</v>
      </c>
      <c r="J16" s="15" t="s">
        <v>14</v>
      </c>
      <c r="K16" s="15" t="s">
        <v>10</v>
      </c>
    </row>
    <row r="17" spans="1:11" x14ac:dyDescent="0.25">
      <c r="A17" s="10" t="s">
        <v>15</v>
      </c>
      <c r="B17" s="29">
        <v>300000</v>
      </c>
      <c r="C17" s="29">
        <v>0</v>
      </c>
      <c r="D17" s="30">
        <f>PMT(F17,H17,B17,C17)</f>
        <v>-1432.2458863963786</v>
      </c>
      <c r="E17" s="12">
        <v>0.04</v>
      </c>
      <c r="F17" s="17">
        <f>E17/I17</f>
        <v>3.3333333333333335E-3</v>
      </c>
      <c r="G17" s="13">
        <v>30</v>
      </c>
      <c r="H17" s="1">
        <f>G17*I17</f>
        <v>360</v>
      </c>
      <c r="I17">
        <v>12</v>
      </c>
      <c r="J17" s="30">
        <f>D17*H17</f>
        <v>-515608.51910269633</v>
      </c>
      <c r="K17" s="30">
        <f>B17+J17</f>
        <v>-215608.51910269633</v>
      </c>
    </row>
    <row r="18" spans="1:11" x14ac:dyDescent="0.25">
      <c r="A18" s="9" t="s">
        <v>16</v>
      </c>
      <c r="B18" s="29">
        <v>300000</v>
      </c>
      <c r="C18" s="29">
        <v>0</v>
      </c>
      <c r="D18" s="30">
        <f>PMT(F18,H18,B18,C18)</f>
        <v>-1583.5105208933319</v>
      </c>
      <c r="E18" s="12">
        <v>0.04</v>
      </c>
      <c r="F18" s="17">
        <f>E18/I18</f>
        <v>3.3333333333333335E-3</v>
      </c>
      <c r="G18" s="13">
        <v>25</v>
      </c>
      <c r="H18" s="1">
        <f>G18*I18</f>
        <v>300</v>
      </c>
      <c r="I18">
        <v>12</v>
      </c>
      <c r="J18" s="30">
        <f>D18*H18</f>
        <v>-475053.15626799955</v>
      </c>
      <c r="K18" s="30">
        <f>B18+J18</f>
        <v>-175053.15626799955</v>
      </c>
    </row>
    <row r="19" spans="1:11" x14ac:dyDescent="0.25">
      <c r="A19" s="9"/>
      <c r="B19" s="29">
        <v>300000</v>
      </c>
      <c r="C19" s="29">
        <v>0</v>
      </c>
      <c r="D19" s="30">
        <f>PMT(F19,H19,B19,C19)</f>
        <v>-1817.9409878982563</v>
      </c>
      <c r="E19" s="12">
        <v>0.04</v>
      </c>
      <c r="F19" s="17">
        <f>E19/I19</f>
        <v>3.3333333333333335E-3</v>
      </c>
      <c r="G19" s="13">
        <v>20</v>
      </c>
      <c r="H19" s="1">
        <f>G19*I19</f>
        <v>240</v>
      </c>
      <c r="I19">
        <v>12</v>
      </c>
      <c r="J19" s="30">
        <f>D19*H19</f>
        <v>-436305.83709558152</v>
      </c>
      <c r="K19" s="30">
        <f>B19+J19</f>
        <v>-136305.83709558152</v>
      </c>
    </row>
    <row r="20" spans="1:11" x14ac:dyDescent="0.25">
      <c r="A20" s="9"/>
      <c r="B20" s="29">
        <v>300000</v>
      </c>
      <c r="C20" s="29">
        <v>0</v>
      </c>
      <c r="D20" s="30">
        <f>PMT(F20,H20,B20,C20)</f>
        <v>-2219.0637768278107</v>
      </c>
      <c r="E20" s="12">
        <v>0.04</v>
      </c>
      <c r="F20" s="17">
        <f>E20/I20</f>
        <v>3.3333333333333335E-3</v>
      </c>
      <c r="G20" s="13">
        <v>15</v>
      </c>
      <c r="H20" s="1">
        <f>G20*I20</f>
        <v>180</v>
      </c>
      <c r="I20">
        <v>12</v>
      </c>
      <c r="J20" s="30">
        <f>D20*H20</f>
        <v>-399431.4798290059</v>
      </c>
      <c r="K20" s="30">
        <f>B20+J20</f>
        <v>-99431.479829005897</v>
      </c>
    </row>
    <row r="21" spans="1:11" x14ac:dyDescent="0.25">
      <c r="A21" s="9"/>
      <c r="B21" s="29">
        <v>300000</v>
      </c>
      <c r="C21" s="29">
        <v>0</v>
      </c>
      <c r="D21" s="30">
        <f>PMT(F21,H21,B21,C21)</f>
        <v>-3037.3541449464446</v>
      </c>
      <c r="E21" s="12">
        <v>0.04</v>
      </c>
      <c r="F21" s="17">
        <f>E21/I21</f>
        <v>3.3333333333333335E-3</v>
      </c>
      <c r="G21" s="13">
        <v>10</v>
      </c>
      <c r="H21" s="1">
        <f>G21*I21</f>
        <v>120</v>
      </c>
      <c r="I21">
        <v>12</v>
      </c>
      <c r="J21" s="30">
        <f>D21*H21</f>
        <v>-364482.49739357334</v>
      </c>
      <c r="K21" s="30">
        <f>B21+J21</f>
        <v>-64482.497393573343</v>
      </c>
    </row>
    <row r="22" spans="1:11" x14ac:dyDescent="0.25">
      <c r="A22" s="9"/>
      <c r="E22" s="12"/>
      <c r="F22" s="12"/>
    </row>
    <row r="23" spans="1:11" x14ac:dyDescent="0.25">
      <c r="A23" s="9" t="s">
        <v>17</v>
      </c>
      <c r="B23" s="32">
        <f>D19-D17</f>
        <v>-385.69510150187762</v>
      </c>
      <c r="C23" s="36" t="s">
        <v>18</v>
      </c>
      <c r="D23" s="36"/>
      <c r="E23" s="36"/>
      <c r="F23" s="36"/>
      <c r="G23" s="36"/>
    </row>
    <row r="24" spans="1:11" x14ac:dyDescent="0.25">
      <c r="A24" s="9"/>
      <c r="B24" s="32">
        <f>K19-K17</f>
        <v>79302.68200711481</v>
      </c>
      <c r="C24" s="36" t="s">
        <v>19</v>
      </c>
      <c r="D24" s="36"/>
      <c r="E24" s="36"/>
      <c r="F24" s="36"/>
      <c r="G24" s="36"/>
    </row>
    <row r="25" spans="1:11" x14ac:dyDescent="0.25">
      <c r="A25" s="9"/>
    </row>
    <row r="26" spans="1:11" x14ac:dyDescent="0.25">
      <c r="A26" s="9"/>
      <c r="C26" s="25" t="s">
        <v>20</v>
      </c>
      <c r="D26" s="26">
        <v>0.2</v>
      </c>
      <c r="F26" s="9" t="s">
        <v>21</v>
      </c>
      <c r="G26" s="11">
        <v>201</v>
      </c>
      <c r="H26" s="11" t="s">
        <v>22</v>
      </c>
    </row>
    <row r="27" spans="1:11" x14ac:dyDescent="0.25">
      <c r="A27" s="9"/>
      <c r="C27" s="25" t="s">
        <v>23</v>
      </c>
      <c r="D27" s="25">
        <v>12</v>
      </c>
      <c r="G27" s="24">
        <f>_xlfn.FLOOR.MATH(G26/D27)</f>
        <v>16</v>
      </c>
      <c r="H27" s="16" t="s">
        <v>24</v>
      </c>
    </row>
    <row r="28" spans="1:11" x14ac:dyDescent="0.25">
      <c r="A28" s="9"/>
      <c r="C28" s="25" t="s">
        <v>25</v>
      </c>
      <c r="D28" s="27">
        <f>D26/D27</f>
        <v>1.6666666666666666E-2</v>
      </c>
      <c r="G28" s="33">
        <f>G26-G27*D27</f>
        <v>9</v>
      </c>
      <c r="H28" s="16" t="s">
        <v>22</v>
      </c>
    </row>
    <row r="29" spans="1:11" x14ac:dyDescent="0.25">
      <c r="A29" s="9">
        <v>3</v>
      </c>
      <c r="B29" s="15" t="s">
        <v>26</v>
      </c>
      <c r="C29" s="15" t="s">
        <v>27</v>
      </c>
      <c r="D29" s="15" t="s">
        <v>10</v>
      </c>
      <c r="E29" s="15" t="s">
        <v>28</v>
      </c>
    </row>
    <row r="30" spans="1:11" x14ac:dyDescent="0.25">
      <c r="B30">
        <v>1</v>
      </c>
      <c r="C30" s="4">
        <v>2000</v>
      </c>
      <c r="D30" s="2">
        <f>C30*$D$28</f>
        <v>33.333333333333336</v>
      </c>
      <c r="E30" s="2">
        <f>ROUND(IF(C30&gt;10,10,C30)+D30,2)</f>
        <v>43.33</v>
      </c>
      <c r="F30" s="9" t="s">
        <v>29</v>
      </c>
      <c r="G30" s="18" t="s">
        <v>30</v>
      </c>
      <c r="H30" s="19"/>
      <c r="I30" s="31">
        <f>SUM(E30:E231)</f>
        <v>5350.03</v>
      </c>
    </row>
    <row r="31" spans="1:11" x14ac:dyDescent="0.25">
      <c r="B31">
        <v>2</v>
      </c>
      <c r="C31" s="2">
        <f>C30+D30-E30</f>
        <v>1990.0033333333333</v>
      </c>
      <c r="D31" s="2">
        <f>C31*$D$28</f>
        <v>33.166722222222219</v>
      </c>
      <c r="E31" s="2">
        <f>ROUND(IF(C31&gt;10,10,C31)+D31,2)</f>
        <v>43.17</v>
      </c>
      <c r="F31" s="9" t="s">
        <v>31</v>
      </c>
      <c r="G31" s="22" t="s">
        <v>32</v>
      </c>
      <c r="H31" s="23"/>
      <c r="I31" s="31">
        <f>SUM(D30:D231)</f>
        <v>3350.0296883300407</v>
      </c>
    </row>
    <row r="32" spans="1:11" x14ac:dyDescent="0.25">
      <c r="B32">
        <v>3</v>
      </c>
      <c r="C32" s="2">
        <f>C31+D31-E31</f>
        <v>1980.0000555555555</v>
      </c>
      <c r="D32" s="2">
        <f>C32*$D$28</f>
        <v>33.000000925925924</v>
      </c>
      <c r="E32" s="2">
        <f>ROUND(IF(C32&gt;10,10,C32)+D32,2)</f>
        <v>43</v>
      </c>
      <c r="G32" s="8"/>
      <c r="I32" s="8"/>
    </row>
    <row r="33" spans="2:9" x14ac:dyDescent="0.25">
      <c r="B33">
        <v>4</v>
      </c>
      <c r="C33" s="2">
        <f>C32+D32-E32</f>
        <v>1970.0000564814814</v>
      </c>
      <c r="D33" s="2">
        <f>C33*$D$28</f>
        <v>32.833334274691353</v>
      </c>
      <c r="E33" s="2">
        <f>ROUND(IF(C33&gt;10,10,C33)+D33,2)</f>
        <v>42.83</v>
      </c>
      <c r="F33" s="9" t="s">
        <v>33</v>
      </c>
      <c r="G33" s="18" t="s">
        <v>34</v>
      </c>
      <c r="H33" s="19"/>
      <c r="I33" s="31">
        <f>C42</f>
        <v>1880.0002437456731</v>
      </c>
    </row>
    <row r="34" spans="2:9" x14ac:dyDescent="0.25">
      <c r="B34">
        <v>5</v>
      </c>
      <c r="C34" s="2">
        <f t="shared" ref="C34:C97" si="9">C33+D33-E33</f>
        <v>1960.0033907561728</v>
      </c>
      <c r="D34" s="2">
        <f t="shared" ref="D34:D97" si="10">C34*$D$28</f>
        <v>32.666723179269546</v>
      </c>
      <c r="E34" s="2">
        <f t="shared" ref="E34:E97" si="11">ROUND(IF(C34&gt;10,10,C34)+D34,2)</f>
        <v>42.67</v>
      </c>
      <c r="F34" s="9" t="s">
        <v>35</v>
      </c>
      <c r="G34" s="22" t="s">
        <v>36</v>
      </c>
      <c r="H34" s="23"/>
      <c r="I34" s="31">
        <f>C30-I33</f>
        <v>119.99975625432694</v>
      </c>
    </row>
    <row r="35" spans="2:9" x14ac:dyDescent="0.25">
      <c r="B35">
        <v>6</v>
      </c>
      <c r="C35" s="2">
        <f t="shared" si="9"/>
        <v>1950.0001139354424</v>
      </c>
      <c r="D35" s="2">
        <f t="shared" si="10"/>
        <v>32.50000189892404</v>
      </c>
      <c r="E35" s="2">
        <f t="shared" si="11"/>
        <v>42.5</v>
      </c>
      <c r="F35" s="9" t="s">
        <v>37</v>
      </c>
      <c r="G35" s="20" t="s">
        <v>38</v>
      </c>
      <c r="H35" s="21"/>
      <c r="I35" s="31">
        <f>SUM(E30:E41)-I34</f>
        <v>389.00024374567306</v>
      </c>
    </row>
    <row r="36" spans="2:9" x14ac:dyDescent="0.25">
      <c r="B36">
        <v>7</v>
      </c>
      <c r="C36" s="2">
        <f t="shared" si="9"/>
        <v>1940.0001158343664</v>
      </c>
      <c r="D36" s="2">
        <f t="shared" si="10"/>
        <v>32.333335263906108</v>
      </c>
      <c r="E36" s="2">
        <f t="shared" si="11"/>
        <v>42.33</v>
      </c>
    </row>
    <row r="37" spans="2:9" x14ac:dyDescent="0.25">
      <c r="B37">
        <v>8</v>
      </c>
      <c r="C37" s="2">
        <f t="shared" si="9"/>
        <v>1930.0034510982725</v>
      </c>
      <c r="D37" s="2">
        <f t="shared" si="10"/>
        <v>32.166724184971208</v>
      </c>
      <c r="E37" s="2">
        <f t="shared" si="11"/>
        <v>42.17</v>
      </c>
    </row>
    <row r="38" spans="2:9" x14ac:dyDescent="0.25">
      <c r="B38">
        <v>9</v>
      </c>
      <c r="C38" s="2">
        <f t="shared" si="9"/>
        <v>1920.0001752832436</v>
      </c>
      <c r="D38" s="2">
        <f t="shared" si="10"/>
        <v>32.000002921387392</v>
      </c>
      <c r="E38" s="2">
        <f t="shared" si="11"/>
        <v>42</v>
      </c>
    </row>
    <row r="39" spans="2:9" x14ac:dyDescent="0.25">
      <c r="B39">
        <v>10</v>
      </c>
      <c r="C39" s="2">
        <f t="shared" si="9"/>
        <v>1910.0001782046311</v>
      </c>
      <c r="D39" s="2">
        <f t="shared" si="10"/>
        <v>31.833336303410519</v>
      </c>
      <c r="E39" s="2">
        <f t="shared" si="11"/>
        <v>41.83</v>
      </c>
    </row>
    <row r="40" spans="2:9" x14ac:dyDescent="0.25">
      <c r="B40">
        <v>11</v>
      </c>
      <c r="C40" s="2">
        <f t="shared" si="9"/>
        <v>1900.0035145080417</v>
      </c>
      <c r="D40" s="2">
        <f t="shared" si="10"/>
        <v>31.666725241800695</v>
      </c>
      <c r="E40" s="2">
        <f t="shared" si="11"/>
        <v>41.67</v>
      </c>
    </row>
    <row r="41" spans="2:9" x14ac:dyDescent="0.25">
      <c r="B41">
        <v>12</v>
      </c>
      <c r="C41" s="2">
        <f t="shared" si="9"/>
        <v>1890.0002397498424</v>
      </c>
      <c r="D41" s="2">
        <f t="shared" si="10"/>
        <v>31.500003995830706</v>
      </c>
      <c r="E41" s="2">
        <f t="shared" si="11"/>
        <v>41.5</v>
      </c>
    </row>
    <row r="42" spans="2:9" x14ac:dyDescent="0.25">
      <c r="B42">
        <v>13</v>
      </c>
      <c r="C42" s="2">
        <f t="shared" si="9"/>
        <v>1880.0002437456731</v>
      </c>
      <c r="D42" s="2">
        <f t="shared" si="10"/>
        <v>31.333337395761216</v>
      </c>
      <c r="E42" s="2">
        <f t="shared" si="11"/>
        <v>41.33</v>
      </c>
    </row>
    <row r="43" spans="2:9" x14ac:dyDescent="0.25">
      <c r="B43">
        <v>14</v>
      </c>
      <c r="C43" s="2">
        <f t="shared" si="9"/>
        <v>1870.0035811414343</v>
      </c>
      <c r="D43" s="2">
        <f t="shared" si="10"/>
        <v>31.166726352357237</v>
      </c>
      <c r="E43" s="2">
        <f t="shared" si="11"/>
        <v>41.17</v>
      </c>
    </row>
    <row r="44" spans="2:9" x14ac:dyDescent="0.25">
      <c r="B44">
        <v>15</v>
      </c>
      <c r="C44" s="2">
        <f t="shared" si="9"/>
        <v>1860.0003074937915</v>
      </c>
      <c r="D44" s="2">
        <f t="shared" si="10"/>
        <v>31.000005124896525</v>
      </c>
      <c r="E44" s="2">
        <f t="shared" si="11"/>
        <v>41</v>
      </c>
    </row>
    <row r="45" spans="2:9" x14ac:dyDescent="0.25">
      <c r="B45">
        <v>16</v>
      </c>
      <c r="C45" s="2">
        <f t="shared" si="9"/>
        <v>1850.000312618688</v>
      </c>
      <c r="D45" s="2">
        <f t="shared" si="10"/>
        <v>30.8333385436448</v>
      </c>
      <c r="E45" s="2">
        <f t="shared" si="11"/>
        <v>40.83</v>
      </c>
    </row>
    <row r="46" spans="2:9" x14ac:dyDescent="0.25">
      <c r="B46">
        <v>17</v>
      </c>
      <c r="C46" s="2">
        <f t="shared" si="9"/>
        <v>1840.003651162333</v>
      </c>
      <c r="D46" s="2">
        <f t="shared" si="10"/>
        <v>30.666727519372216</v>
      </c>
      <c r="E46" s="2">
        <f t="shared" si="11"/>
        <v>40.67</v>
      </c>
    </row>
    <row r="47" spans="2:9" x14ac:dyDescent="0.25">
      <c r="B47">
        <v>18</v>
      </c>
      <c r="C47" s="2">
        <f t="shared" si="9"/>
        <v>1830.0003786817051</v>
      </c>
      <c r="D47" s="2">
        <f t="shared" si="10"/>
        <v>30.500006311361751</v>
      </c>
      <c r="E47" s="2">
        <f t="shared" si="11"/>
        <v>40.5</v>
      </c>
    </row>
    <row r="48" spans="2:9" x14ac:dyDescent="0.25">
      <c r="B48">
        <v>19</v>
      </c>
      <c r="C48" s="2">
        <f t="shared" si="9"/>
        <v>1820.000384993067</v>
      </c>
      <c r="D48" s="2">
        <f t="shared" si="10"/>
        <v>30.333339749884448</v>
      </c>
      <c r="E48" s="2">
        <f t="shared" si="11"/>
        <v>40.33</v>
      </c>
    </row>
    <row r="49" spans="2:5" x14ac:dyDescent="0.25">
      <c r="B49">
        <v>20</v>
      </c>
      <c r="C49" s="2">
        <f t="shared" si="9"/>
        <v>1810.0037247429516</v>
      </c>
      <c r="D49" s="2">
        <f t="shared" si="10"/>
        <v>30.166728745715858</v>
      </c>
      <c r="E49" s="2">
        <f t="shared" si="11"/>
        <v>40.17</v>
      </c>
    </row>
    <row r="50" spans="2:5" x14ac:dyDescent="0.25">
      <c r="B50">
        <v>21</v>
      </c>
      <c r="C50" s="2">
        <f t="shared" si="9"/>
        <v>1800.0004534886673</v>
      </c>
      <c r="D50" s="2">
        <f t="shared" si="10"/>
        <v>30.000007558144453</v>
      </c>
      <c r="E50" s="2">
        <f t="shared" si="11"/>
        <v>40</v>
      </c>
    </row>
    <row r="51" spans="2:5" x14ac:dyDescent="0.25">
      <c r="B51">
        <v>22</v>
      </c>
      <c r="C51" s="2">
        <f t="shared" si="9"/>
        <v>1790.0004610468118</v>
      </c>
      <c r="D51" s="2">
        <f t="shared" si="10"/>
        <v>29.833341017446863</v>
      </c>
      <c r="E51" s="2">
        <f t="shared" si="11"/>
        <v>39.83</v>
      </c>
    </row>
    <row r="52" spans="2:5" x14ac:dyDescent="0.25">
      <c r="B52">
        <v>23</v>
      </c>
      <c r="C52" s="2">
        <f t="shared" si="9"/>
        <v>1780.0038020642587</v>
      </c>
      <c r="D52" s="2">
        <f t="shared" si="10"/>
        <v>29.66673003440431</v>
      </c>
      <c r="E52" s="2">
        <f t="shared" si="11"/>
        <v>39.67</v>
      </c>
    </row>
    <row r="53" spans="2:5" x14ac:dyDescent="0.25">
      <c r="B53">
        <v>24</v>
      </c>
      <c r="C53" s="2">
        <f t="shared" si="9"/>
        <v>1770.0005320986629</v>
      </c>
      <c r="D53" s="2">
        <f t="shared" si="10"/>
        <v>29.500008868311049</v>
      </c>
      <c r="E53" s="2">
        <f t="shared" si="11"/>
        <v>39.5</v>
      </c>
    </row>
    <row r="54" spans="2:5" x14ac:dyDescent="0.25">
      <c r="B54">
        <v>25</v>
      </c>
      <c r="C54" s="2">
        <f t="shared" si="9"/>
        <v>1760.0005409669739</v>
      </c>
      <c r="D54" s="2">
        <f t="shared" si="10"/>
        <v>29.333342349449563</v>
      </c>
      <c r="E54" s="2">
        <f t="shared" si="11"/>
        <v>39.33</v>
      </c>
    </row>
    <row r="55" spans="2:5" x14ac:dyDescent="0.25">
      <c r="B55">
        <v>26</v>
      </c>
      <c r="C55" s="2">
        <f t="shared" si="9"/>
        <v>1750.0038833164235</v>
      </c>
      <c r="D55" s="2">
        <f t="shared" si="10"/>
        <v>29.166731388607058</v>
      </c>
      <c r="E55" s="2">
        <f t="shared" si="11"/>
        <v>39.17</v>
      </c>
    </row>
    <row r="56" spans="2:5" x14ac:dyDescent="0.25">
      <c r="B56">
        <v>27</v>
      </c>
      <c r="C56" s="2">
        <f t="shared" si="9"/>
        <v>1740.0006147050306</v>
      </c>
      <c r="D56" s="2">
        <f t="shared" si="10"/>
        <v>29.000010245083843</v>
      </c>
      <c r="E56" s="2">
        <f t="shared" si="11"/>
        <v>39</v>
      </c>
    </row>
    <row r="57" spans="2:5" x14ac:dyDescent="0.25">
      <c r="B57">
        <v>28</v>
      </c>
      <c r="C57" s="2">
        <f t="shared" si="9"/>
        <v>1730.0006249501143</v>
      </c>
      <c r="D57" s="2">
        <f t="shared" si="10"/>
        <v>28.833343749168574</v>
      </c>
      <c r="E57" s="2">
        <f t="shared" si="11"/>
        <v>38.83</v>
      </c>
    </row>
    <row r="58" spans="2:5" x14ac:dyDescent="0.25">
      <c r="B58">
        <v>29</v>
      </c>
      <c r="C58" s="2">
        <f t="shared" si="9"/>
        <v>1720.003968699283</v>
      </c>
      <c r="D58" s="2">
        <f t="shared" si="10"/>
        <v>28.666732811654715</v>
      </c>
      <c r="E58" s="2">
        <f t="shared" si="11"/>
        <v>38.67</v>
      </c>
    </row>
    <row r="59" spans="2:5" x14ac:dyDescent="0.25">
      <c r="B59">
        <v>30</v>
      </c>
      <c r="C59" s="2">
        <f t="shared" si="9"/>
        <v>1710.0007015109377</v>
      </c>
      <c r="D59" s="2">
        <f t="shared" si="10"/>
        <v>28.500011691848961</v>
      </c>
      <c r="E59" s="2">
        <f t="shared" si="11"/>
        <v>38.5</v>
      </c>
    </row>
    <row r="60" spans="2:5" x14ac:dyDescent="0.25">
      <c r="B60">
        <v>31</v>
      </c>
      <c r="C60" s="2">
        <f t="shared" si="9"/>
        <v>1700.0007132027868</v>
      </c>
      <c r="D60" s="2">
        <f t="shared" si="10"/>
        <v>28.333345220046446</v>
      </c>
      <c r="E60" s="2">
        <f t="shared" si="11"/>
        <v>38.33</v>
      </c>
    </row>
    <row r="61" spans="2:5" x14ac:dyDescent="0.25">
      <c r="B61">
        <v>32</v>
      </c>
      <c r="C61" s="2">
        <f t="shared" si="9"/>
        <v>1690.0040584228332</v>
      </c>
      <c r="D61" s="2">
        <f t="shared" si="10"/>
        <v>28.166734307047218</v>
      </c>
      <c r="E61" s="2">
        <f t="shared" si="11"/>
        <v>38.17</v>
      </c>
    </row>
    <row r="62" spans="2:5" x14ac:dyDescent="0.25">
      <c r="B62">
        <v>33</v>
      </c>
      <c r="C62" s="2">
        <f t="shared" si="9"/>
        <v>1680.0007927298802</v>
      </c>
      <c r="D62" s="2">
        <f t="shared" si="10"/>
        <v>28.000013212164671</v>
      </c>
      <c r="E62" s="2">
        <f t="shared" si="11"/>
        <v>38</v>
      </c>
    </row>
    <row r="63" spans="2:5" x14ac:dyDescent="0.25">
      <c r="B63">
        <v>34</v>
      </c>
      <c r="C63" s="2">
        <f t="shared" si="9"/>
        <v>1670.000805942045</v>
      </c>
      <c r="D63" s="2">
        <f t="shared" si="10"/>
        <v>27.83334676570075</v>
      </c>
      <c r="E63" s="2">
        <f t="shared" si="11"/>
        <v>37.83</v>
      </c>
    </row>
    <row r="64" spans="2:5" x14ac:dyDescent="0.25">
      <c r="B64">
        <v>35</v>
      </c>
      <c r="C64" s="2">
        <f t="shared" si="9"/>
        <v>1660.0041527077458</v>
      </c>
      <c r="D64" s="2">
        <f t="shared" si="10"/>
        <v>27.666735878462429</v>
      </c>
      <c r="E64" s="2">
        <f t="shared" si="11"/>
        <v>37.67</v>
      </c>
    </row>
    <row r="65" spans="2:5" x14ac:dyDescent="0.25">
      <c r="B65">
        <v>36</v>
      </c>
      <c r="C65" s="2">
        <f t="shared" si="9"/>
        <v>1650.0008885862082</v>
      </c>
      <c r="D65" s="2">
        <f t="shared" si="10"/>
        <v>27.500014809770136</v>
      </c>
      <c r="E65" s="2">
        <f t="shared" si="11"/>
        <v>37.5</v>
      </c>
    </row>
    <row r="66" spans="2:5" x14ac:dyDescent="0.25">
      <c r="B66">
        <v>37</v>
      </c>
      <c r="C66" s="2">
        <f t="shared" si="9"/>
        <v>1640.0009033959784</v>
      </c>
      <c r="D66" s="2">
        <f t="shared" si="10"/>
        <v>27.333348389932972</v>
      </c>
      <c r="E66" s="2">
        <f t="shared" si="11"/>
        <v>37.33</v>
      </c>
    </row>
    <row r="67" spans="2:5" x14ac:dyDescent="0.25">
      <c r="B67">
        <v>38</v>
      </c>
      <c r="C67" s="2">
        <f t="shared" si="9"/>
        <v>1630.0042517859115</v>
      </c>
      <c r="D67" s="2">
        <f t="shared" si="10"/>
        <v>27.166737529765189</v>
      </c>
      <c r="E67" s="2">
        <f t="shared" si="11"/>
        <v>37.17</v>
      </c>
    </row>
    <row r="68" spans="2:5" x14ac:dyDescent="0.25">
      <c r="B68">
        <v>39</v>
      </c>
      <c r="C68" s="2">
        <f t="shared" si="9"/>
        <v>1620.0009893156766</v>
      </c>
      <c r="D68" s="2">
        <f t="shared" si="10"/>
        <v>27.000016488594611</v>
      </c>
      <c r="E68" s="2">
        <f t="shared" si="11"/>
        <v>37</v>
      </c>
    </row>
    <row r="69" spans="2:5" x14ac:dyDescent="0.25">
      <c r="B69">
        <v>40</v>
      </c>
      <c r="C69" s="2">
        <f t="shared" si="9"/>
        <v>1610.0010058042712</v>
      </c>
      <c r="D69" s="2">
        <f t="shared" si="10"/>
        <v>26.833350096737853</v>
      </c>
      <c r="E69" s="2">
        <f t="shared" si="11"/>
        <v>36.83</v>
      </c>
    </row>
    <row r="70" spans="2:5" x14ac:dyDescent="0.25">
      <c r="B70">
        <v>41</v>
      </c>
      <c r="C70" s="2">
        <f t="shared" si="9"/>
        <v>1600.0043559010091</v>
      </c>
      <c r="D70" s="2">
        <f t="shared" si="10"/>
        <v>26.666739265016819</v>
      </c>
      <c r="E70" s="2">
        <f t="shared" si="11"/>
        <v>36.67</v>
      </c>
    </row>
    <row r="71" spans="2:5" x14ac:dyDescent="0.25">
      <c r="B71">
        <v>42</v>
      </c>
      <c r="C71" s="2">
        <f t="shared" si="9"/>
        <v>1590.0010951660258</v>
      </c>
      <c r="D71" s="2">
        <f t="shared" si="10"/>
        <v>26.500018252767095</v>
      </c>
      <c r="E71" s="2">
        <f t="shared" si="11"/>
        <v>36.5</v>
      </c>
    </row>
    <row r="72" spans="2:5" x14ac:dyDescent="0.25">
      <c r="B72">
        <v>43</v>
      </c>
      <c r="C72" s="2">
        <f t="shared" si="9"/>
        <v>1580.001113418793</v>
      </c>
      <c r="D72" s="2">
        <f t="shared" si="10"/>
        <v>26.333351890313217</v>
      </c>
      <c r="E72" s="2">
        <f t="shared" si="11"/>
        <v>36.33</v>
      </c>
    </row>
    <row r="73" spans="2:5" x14ac:dyDescent="0.25">
      <c r="B73">
        <v>44</v>
      </c>
      <c r="C73" s="2">
        <f t="shared" si="9"/>
        <v>1570.0044653091063</v>
      </c>
      <c r="D73" s="2">
        <f t="shared" si="10"/>
        <v>26.166741088485104</v>
      </c>
      <c r="E73" s="2">
        <f t="shared" si="11"/>
        <v>36.17</v>
      </c>
    </row>
    <row r="74" spans="2:5" x14ac:dyDescent="0.25">
      <c r="B74">
        <v>45</v>
      </c>
      <c r="C74" s="2">
        <f t="shared" si="9"/>
        <v>1560.0012063975914</v>
      </c>
      <c r="D74" s="2">
        <f t="shared" si="10"/>
        <v>26.000020106626522</v>
      </c>
      <c r="E74" s="2">
        <f t="shared" si="11"/>
        <v>36</v>
      </c>
    </row>
    <row r="75" spans="2:5" x14ac:dyDescent="0.25">
      <c r="B75">
        <v>46</v>
      </c>
      <c r="C75" s="2">
        <f t="shared" si="9"/>
        <v>1550.001226504218</v>
      </c>
      <c r="D75" s="2">
        <f t="shared" si="10"/>
        <v>25.8333537750703</v>
      </c>
      <c r="E75" s="2">
        <f t="shared" si="11"/>
        <v>35.83</v>
      </c>
    </row>
    <row r="76" spans="2:5" x14ac:dyDescent="0.25">
      <c r="B76">
        <v>47</v>
      </c>
      <c r="C76" s="2">
        <f t="shared" si="9"/>
        <v>1540.0045802792883</v>
      </c>
      <c r="D76" s="2">
        <f t="shared" si="10"/>
        <v>25.666743004654805</v>
      </c>
      <c r="E76" s="2">
        <f t="shared" si="11"/>
        <v>35.67</v>
      </c>
    </row>
    <row r="77" spans="2:5" x14ac:dyDescent="0.25">
      <c r="B77">
        <v>48</v>
      </c>
      <c r="C77" s="2">
        <f t="shared" si="9"/>
        <v>1530.0013232839431</v>
      </c>
      <c r="D77" s="2">
        <f t="shared" si="10"/>
        <v>25.500022054732383</v>
      </c>
      <c r="E77" s="2">
        <f t="shared" si="11"/>
        <v>35.5</v>
      </c>
    </row>
    <row r="78" spans="2:5" x14ac:dyDescent="0.25">
      <c r="B78">
        <v>49</v>
      </c>
      <c r="C78" s="2">
        <f t="shared" si="9"/>
        <v>1520.0013453386755</v>
      </c>
      <c r="D78" s="2">
        <f t="shared" si="10"/>
        <v>25.33335575564459</v>
      </c>
      <c r="E78" s="2">
        <f t="shared" si="11"/>
        <v>35.33</v>
      </c>
    </row>
    <row r="79" spans="2:5" x14ac:dyDescent="0.25">
      <c r="B79">
        <v>50</v>
      </c>
      <c r="C79" s="2">
        <f t="shared" si="9"/>
        <v>1510.0047010943201</v>
      </c>
      <c r="D79" s="2">
        <f t="shared" si="10"/>
        <v>25.166745018238668</v>
      </c>
      <c r="E79" s="2">
        <f t="shared" si="11"/>
        <v>35.17</v>
      </c>
    </row>
    <row r="80" spans="2:5" x14ac:dyDescent="0.25">
      <c r="B80">
        <v>51</v>
      </c>
      <c r="C80" s="2">
        <f t="shared" si="9"/>
        <v>1500.0014461125588</v>
      </c>
      <c r="D80" s="2">
        <f t="shared" si="10"/>
        <v>25.000024101875979</v>
      </c>
      <c r="E80" s="2">
        <f t="shared" si="11"/>
        <v>35</v>
      </c>
    </row>
    <row r="81" spans="2:5" x14ac:dyDescent="0.25">
      <c r="B81">
        <v>52</v>
      </c>
      <c r="C81" s="2">
        <f t="shared" si="9"/>
        <v>1490.0014702144349</v>
      </c>
      <c r="D81" s="2">
        <f t="shared" si="10"/>
        <v>24.833357836907247</v>
      </c>
      <c r="E81" s="2">
        <f t="shared" si="11"/>
        <v>34.83</v>
      </c>
    </row>
    <row r="82" spans="2:5" x14ac:dyDescent="0.25">
      <c r="B82">
        <v>53</v>
      </c>
      <c r="C82" s="2">
        <f t="shared" si="9"/>
        <v>1480.0048280513422</v>
      </c>
      <c r="D82" s="2">
        <f t="shared" si="10"/>
        <v>24.666747134189038</v>
      </c>
      <c r="E82" s="2">
        <f t="shared" si="11"/>
        <v>34.67</v>
      </c>
    </row>
    <row r="83" spans="2:5" x14ac:dyDescent="0.25">
      <c r="B83">
        <v>54</v>
      </c>
      <c r="C83" s="2">
        <f t="shared" si="9"/>
        <v>1470.0015751855312</v>
      </c>
      <c r="D83" s="2">
        <f t="shared" si="10"/>
        <v>24.500026253092187</v>
      </c>
      <c r="E83" s="2">
        <f t="shared" si="11"/>
        <v>34.5</v>
      </c>
    </row>
    <row r="84" spans="2:5" x14ac:dyDescent="0.25">
      <c r="B84">
        <v>55</v>
      </c>
      <c r="C84" s="2">
        <f t="shared" si="9"/>
        <v>1460.0016014386233</v>
      </c>
      <c r="D84" s="2">
        <f t="shared" si="10"/>
        <v>24.333360023977054</v>
      </c>
      <c r="E84" s="2">
        <f t="shared" si="11"/>
        <v>34.33</v>
      </c>
    </row>
    <row r="85" spans="2:5" x14ac:dyDescent="0.25">
      <c r="B85">
        <v>56</v>
      </c>
      <c r="C85" s="2">
        <f t="shared" si="9"/>
        <v>1450.0049614626005</v>
      </c>
      <c r="D85" s="2">
        <f t="shared" si="10"/>
        <v>24.166749357710007</v>
      </c>
      <c r="E85" s="2">
        <f t="shared" si="11"/>
        <v>34.17</v>
      </c>
    </row>
    <row r="86" spans="2:5" x14ac:dyDescent="0.25">
      <c r="B86">
        <v>57</v>
      </c>
      <c r="C86" s="2">
        <f t="shared" si="9"/>
        <v>1440.0017108203103</v>
      </c>
      <c r="D86" s="2">
        <f t="shared" si="10"/>
        <v>24.00002851367184</v>
      </c>
      <c r="E86" s="2">
        <f t="shared" si="11"/>
        <v>34</v>
      </c>
    </row>
    <row r="87" spans="2:5" x14ac:dyDescent="0.25">
      <c r="B87">
        <v>58</v>
      </c>
      <c r="C87" s="2">
        <f t="shared" si="9"/>
        <v>1430.0017393339822</v>
      </c>
      <c r="D87" s="2">
        <f t="shared" si="10"/>
        <v>23.833362322233036</v>
      </c>
      <c r="E87" s="2">
        <f t="shared" si="11"/>
        <v>33.83</v>
      </c>
    </row>
    <row r="88" spans="2:5" x14ac:dyDescent="0.25">
      <c r="B88">
        <v>59</v>
      </c>
      <c r="C88" s="2">
        <f t="shared" si="9"/>
        <v>1420.0051016562154</v>
      </c>
      <c r="D88" s="2">
        <f t="shared" si="10"/>
        <v>23.666751694270257</v>
      </c>
      <c r="E88" s="2">
        <f t="shared" si="11"/>
        <v>33.67</v>
      </c>
    </row>
    <row r="89" spans="2:5" x14ac:dyDescent="0.25">
      <c r="B89">
        <v>60</v>
      </c>
      <c r="C89" s="2">
        <f t="shared" si="9"/>
        <v>1410.0018533504856</v>
      </c>
      <c r="D89" s="2">
        <f t="shared" si="10"/>
        <v>23.500030889174759</v>
      </c>
      <c r="E89" s="2">
        <f t="shared" si="11"/>
        <v>33.5</v>
      </c>
    </row>
    <row r="90" spans="2:5" x14ac:dyDescent="0.25">
      <c r="B90">
        <v>61</v>
      </c>
      <c r="C90" s="2">
        <f t="shared" si="9"/>
        <v>1400.0018842396603</v>
      </c>
      <c r="D90" s="2">
        <f t="shared" si="10"/>
        <v>23.33336473732767</v>
      </c>
      <c r="E90" s="2">
        <f t="shared" si="11"/>
        <v>33.33</v>
      </c>
    </row>
    <row r="91" spans="2:5" x14ac:dyDescent="0.25">
      <c r="B91">
        <v>62</v>
      </c>
      <c r="C91" s="2">
        <f t="shared" si="9"/>
        <v>1390.005248976988</v>
      </c>
      <c r="D91" s="2">
        <f t="shared" si="10"/>
        <v>23.166754149616466</v>
      </c>
      <c r="E91" s="2">
        <f t="shared" si="11"/>
        <v>33.17</v>
      </c>
    </row>
    <row r="92" spans="2:5" x14ac:dyDescent="0.25">
      <c r="B92">
        <v>63</v>
      </c>
      <c r="C92" s="2">
        <f t="shared" si="9"/>
        <v>1380.0020031266044</v>
      </c>
      <c r="D92" s="2">
        <f t="shared" si="10"/>
        <v>23.000033385443409</v>
      </c>
      <c r="E92" s="2">
        <f t="shared" si="11"/>
        <v>33</v>
      </c>
    </row>
    <row r="93" spans="2:5" x14ac:dyDescent="0.25">
      <c r="B93">
        <v>64</v>
      </c>
      <c r="C93" s="2">
        <f t="shared" si="9"/>
        <v>1370.0020365120479</v>
      </c>
      <c r="D93" s="2">
        <f t="shared" si="10"/>
        <v>22.833367275200796</v>
      </c>
      <c r="E93" s="2">
        <f t="shared" si="11"/>
        <v>32.83</v>
      </c>
    </row>
    <row r="94" spans="2:5" x14ac:dyDescent="0.25">
      <c r="B94">
        <v>65</v>
      </c>
      <c r="C94" s="2">
        <f t="shared" si="9"/>
        <v>1360.0054037872487</v>
      </c>
      <c r="D94" s="2">
        <f t="shared" si="10"/>
        <v>22.66675672978748</v>
      </c>
      <c r="E94" s="2">
        <f t="shared" si="11"/>
        <v>32.67</v>
      </c>
    </row>
    <row r="95" spans="2:5" x14ac:dyDescent="0.25">
      <c r="B95">
        <v>66</v>
      </c>
      <c r="C95" s="2">
        <f t="shared" si="9"/>
        <v>1350.0021605170361</v>
      </c>
      <c r="D95" s="2">
        <f t="shared" si="10"/>
        <v>22.500036008617268</v>
      </c>
      <c r="E95" s="2">
        <f t="shared" si="11"/>
        <v>32.5</v>
      </c>
    </row>
    <row r="96" spans="2:5" x14ac:dyDescent="0.25">
      <c r="B96">
        <v>67</v>
      </c>
      <c r="C96" s="2">
        <f t="shared" si="9"/>
        <v>1340.0021965256535</v>
      </c>
      <c r="D96" s="2">
        <f t="shared" si="10"/>
        <v>22.333369942094226</v>
      </c>
      <c r="E96" s="2">
        <f t="shared" si="11"/>
        <v>32.33</v>
      </c>
    </row>
    <row r="97" spans="2:5" x14ac:dyDescent="0.25">
      <c r="B97">
        <v>68</v>
      </c>
      <c r="C97" s="2">
        <f t="shared" si="9"/>
        <v>1330.0055664677477</v>
      </c>
      <c r="D97" s="2">
        <f t="shared" si="10"/>
        <v>22.166759441129127</v>
      </c>
      <c r="E97" s="2">
        <f t="shared" si="11"/>
        <v>32.17</v>
      </c>
    </row>
    <row r="98" spans="2:5" x14ac:dyDescent="0.25">
      <c r="B98">
        <v>69</v>
      </c>
      <c r="C98" s="2">
        <f t="shared" ref="C98:C161" si="12">C97+D97-E97</f>
        <v>1320.0023259088769</v>
      </c>
      <c r="D98" s="2">
        <f t="shared" ref="D98:D161" si="13">C98*$D$28</f>
        <v>22.000038765147949</v>
      </c>
      <c r="E98" s="2">
        <f t="shared" ref="E98:E161" si="14">ROUND(IF(C98&gt;10,10,C98)+D98,2)</f>
        <v>32</v>
      </c>
    </row>
    <row r="99" spans="2:5" x14ac:dyDescent="0.25">
      <c r="B99">
        <v>70</v>
      </c>
      <c r="C99" s="2">
        <f t="shared" si="12"/>
        <v>1310.0023646740249</v>
      </c>
      <c r="D99" s="2">
        <f t="shared" si="13"/>
        <v>21.833372744567082</v>
      </c>
      <c r="E99" s="2">
        <f t="shared" si="14"/>
        <v>31.83</v>
      </c>
    </row>
    <row r="100" spans="2:5" x14ac:dyDescent="0.25">
      <c r="B100">
        <v>71</v>
      </c>
      <c r="C100" s="2">
        <f t="shared" si="12"/>
        <v>1300.0057374185919</v>
      </c>
      <c r="D100" s="2">
        <f t="shared" si="13"/>
        <v>21.666762290309865</v>
      </c>
      <c r="E100" s="2">
        <f t="shared" si="14"/>
        <v>31.67</v>
      </c>
    </row>
    <row r="101" spans="2:5" x14ac:dyDescent="0.25">
      <c r="B101">
        <v>72</v>
      </c>
      <c r="C101" s="2">
        <f t="shared" si="12"/>
        <v>1290.0024997089017</v>
      </c>
      <c r="D101" s="2">
        <f t="shared" si="13"/>
        <v>21.500041661815029</v>
      </c>
      <c r="E101" s="2">
        <f t="shared" si="14"/>
        <v>31.5</v>
      </c>
    </row>
    <row r="102" spans="2:5" x14ac:dyDescent="0.25">
      <c r="B102">
        <v>73</v>
      </c>
      <c r="C102" s="2">
        <f t="shared" si="12"/>
        <v>1280.0025413707167</v>
      </c>
      <c r="D102" s="2">
        <f t="shared" si="13"/>
        <v>21.333375689511946</v>
      </c>
      <c r="E102" s="2">
        <f t="shared" si="14"/>
        <v>31.33</v>
      </c>
    </row>
    <row r="103" spans="2:5" x14ac:dyDescent="0.25">
      <c r="B103">
        <v>74</v>
      </c>
      <c r="C103" s="2">
        <f t="shared" si="12"/>
        <v>1270.0059170602287</v>
      </c>
      <c r="D103" s="2">
        <f t="shared" si="13"/>
        <v>21.166765284337146</v>
      </c>
      <c r="E103" s="2">
        <f t="shared" si="14"/>
        <v>31.17</v>
      </c>
    </row>
    <row r="104" spans="2:5" x14ac:dyDescent="0.25">
      <c r="B104">
        <v>75</v>
      </c>
      <c r="C104" s="2">
        <f t="shared" si="12"/>
        <v>1260.0026823445658</v>
      </c>
      <c r="D104" s="2">
        <f t="shared" si="13"/>
        <v>21.000044705742763</v>
      </c>
      <c r="E104" s="2">
        <f t="shared" si="14"/>
        <v>31</v>
      </c>
    </row>
    <row r="105" spans="2:5" x14ac:dyDescent="0.25">
      <c r="B105">
        <v>76</v>
      </c>
      <c r="C105" s="2">
        <f t="shared" si="12"/>
        <v>1250.0027270503085</v>
      </c>
      <c r="D105" s="2">
        <f t="shared" si="13"/>
        <v>20.83337878417181</v>
      </c>
      <c r="E105" s="2">
        <f t="shared" si="14"/>
        <v>30.83</v>
      </c>
    </row>
    <row r="106" spans="2:5" x14ac:dyDescent="0.25">
      <c r="B106">
        <v>77</v>
      </c>
      <c r="C106" s="2">
        <f t="shared" si="12"/>
        <v>1240.0061058344804</v>
      </c>
      <c r="D106" s="2">
        <f t="shared" si="13"/>
        <v>20.666768430574674</v>
      </c>
      <c r="E106" s="2">
        <f t="shared" si="14"/>
        <v>30.67</v>
      </c>
    </row>
    <row r="107" spans="2:5" x14ac:dyDescent="0.25">
      <c r="B107">
        <v>78</v>
      </c>
      <c r="C107" s="2">
        <f t="shared" si="12"/>
        <v>1230.002874265055</v>
      </c>
      <c r="D107" s="2">
        <f t="shared" si="13"/>
        <v>20.500047904417581</v>
      </c>
      <c r="E107" s="2">
        <f t="shared" si="14"/>
        <v>30.5</v>
      </c>
    </row>
    <row r="108" spans="2:5" x14ac:dyDescent="0.25">
      <c r="B108">
        <v>79</v>
      </c>
      <c r="C108" s="2">
        <f t="shared" si="12"/>
        <v>1220.0029221694726</v>
      </c>
      <c r="D108" s="2">
        <f t="shared" si="13"/>
        <v>20.333382036157879</v>
      </c>
      <c r="E108" s="2">
        <f t="shared" si="14"/>
        <v>30.33</v>
      </c>
    </row>
    <row r="109" spans="2:5" x14ac:dyDescent="0.25">
      <c r="B109">
        <v>80</v>
      </c>
      <c r="C109" s="2">
        <f t="shared" si="12"/>
        <v>1210.0063042056306</v>
      </c>
      <c r="D109" s="2">
        <f t="shared" si="13"/>
        <v>20.166771736760509</v>
      </c>
      <c r="E109" s="2">
        <f t="shared" si="14"/>
        <v>30.17</v>
      </c>
    </row>
    <row r="110" spans="2:5" x14ac:dyDescent="0.25">
      <c r="B110">
        <v>81</v>
      </c>
      <c r="C110" s="2">
        <f t="shared" si="12"/>
        <v>1200.003075942391</v>
      </c>
      <c r="D110" s="2">
        <f t="shared" si="13"/>
        <v>20.000051265706517</v>
      </c>
      <c r="E110" s="2">
        <f t="shared" si="14"/>
        <v>30</v>
      </c>
    </row>
    <row r="111" spans="2:5" x14ac:dyDescent="0.25">
      <c r="B111">
        <v>82</v>
      </c>
      <c r="C111" s="2">
        <f t="shared" si="12"/>
        <v>1190.0031272080976</v>
      </c>
      <c r="D111" s="2">
        <f t="shared" si="13"/>
        <v>19.833385453468292</v>
      </c>
      <c r="E111" s="2">
        <f t="shared" si="14"/>
        <v>29.83</v>
      </c>
    </row>
    <row r="112" spans="2:5" x14ac:dyDescent="0.25">
      <c r="B112">
        <v>83</v>
      </c>
      <c r="C112" s="2">
        <f t="shared" si="12"/>
        <v>1180.0065126615659</v>
      </c>
      <c r="D112" s="2">
        <f t="shared" si="13"/>
        <v>19.666775211026099</v>
      </c>
      <c r="E112" s="2">
        <f t="shared" si="14"/>
        <v>29.67</v>
      </c>
    </row>
    <row r="113" spans="2:5" x14ac:dyDescent="0.25">
      <c r="B113">
        <v>84</v>
      </c>
      <c r="C113" s="2">
        <f t="shared" si="12"/>
        <v>1170.003287872592</v>
      </c>
      <c r="D113" s="2">
        <f t="shared" si="13"/>
        <v>19.500054797876533</v>
      </c>
      <c r="E113" s="2">
        <f t="shared" si="14"/>
        <v>29.5</v>
      </c>
    </row>
    <row r="114" spans="2:5" x14ac:dyDescent="0.25">
      <c r="B114">
        <v>85</v>
      </c>
      <c r="C114" s="2">
        <f t="shared" si="12"/>
        <v>1160.0033426704686</v>
      </c>
      <c r="D114" s="2">
        <f t="shared" si="13"/>
        <v>19.333389044507808</v>
      </c>
      <c r="E114" s="2">
        <f t="shared" si="14"/>
        <v>29.33</v>
      </c>
    </row>
    <row r="115" spans="2:5" x14ac:dyDescent="0.25">
      <c r="B115">
        <v>86</v>
      </c>
      <c r="C115" s="2">
        <f t="shared" si="12"/>
        <v>1150.0067317149765</v>
      </c>
      <c r="D115" s="2">
        <f t="shared" si="13"/>
        <v>19.166778861916274</v>
      </c>
      <c r="E115" s="2">
        <f t="shared" si="14"/>
        <v>29.17</v>
      </c>
    </row>
    <row r="116" spans="2:5" x14ac:dyDescent="0.25">
      <c r="B116">
        <v>87</v>
      </c>
      <c r="C116" s="2">
        <f t="shared" si="12"/>
        <v>1140.0035105768927</v>
      </c>
      <c r="D116" s="2">
        <f t="shared" si="13"/>
        <v>19.000058509614878</v>
      </c>
      <c r="E116" s="2">
        <f t="shared" si="14"/>
        <v>29</v>
      </c>
    </row>
    <row r="117" spans="2:5" x14ac:dyDescent="0.25">
      <c r="B117">
        <v>88</v>
      </c>
      <c r="C117" s="2">
        <f t="shared" si="12"/>
        <v>1130.0035690865077</v>
      </c>
      <c r="D117" s="2">
        <f t="shared" si="13"/>
        <v>18.833392818108461</v>
      </c>
      <c r="E117" s="2">
        <f t="shared" si="14"/>
        <v>28.83</v>
      </c>
    </row>
    <row r="118" spans="2:5" x14ac:dyDescent="0.25">
      <c r="B118">
        <v>89</v>
      </c>
      <c r="C118" s="2">
        <f t="shared" si="12"/>
        <v>1120.0069619046162</v>
      </c>
      <c r="D118" s="2">
        <f t="shared" si="13"/>
        <v>18.66678269841027</v>
      </c>
      <c r="E118" s="2">
        <f t="shared" si="14"/>
        <v>28.67</v>
      </c>
    </row>
    <row r="119" spans="2:5" x14ac:dyDescent="0.25">
      <c r="B119">
        <v>90</v>
      </c>
      <c r="C119" s="2">
        <f t="shared" si="12"/>
        <v>1110.0037446030265</v>
      </c>
      <c r="D119" s="2">
        <f t="shared" si="13"/>
        <v>18.50006241005044</v>
      </c>
      <c r="E119" s="2">
        <f t="shared" si="14"/>
        <v>28.5</v>
      </c>
    </row>
    <row r="120" spans="2:5" x14ac:dyDescent="0.25">
      <c r="B120">
        <v>91</v>
      </c>
      <c r="C120" s="2">
        <f t="shared" si="12"/>
        <v>1100.003807013077</v>
      </c>
      <c r="D120" s="2">
        <f t="shared" si="13"/>
        <v>18.333396783551283</v>
      </c>
      <c r="E120" s="2">
        <f t="shared" si="14"/>
        <v>28.33</v>
      </c>
    </row>
    <row r="121" spans="2:5" x14ac:dyDescent="0.25">
      <c r="B121">
        <v>92</v>
      </c>
      <c r="C121" s="2">
        <f t="shared" si="12"/>
        <v>1090.0072037966283</v>
      </c>
      <c r="D121" s="2">
        <f t="shared" si="13"/>
        <v>18.166786729943805</v>
      </c>
      <c r="E121" s="2">
        <f t="shared" si="14"/>
        <v>28.17</v>
      </c>
    </row>
    <row r="122" spans="2:5" x14ac:dyDescent="0.25">
      <c r="B122">
        <v>93</v>
      </c>
      <c r="C122" s="2">
        <f t="shared" si="12"/>
        <v>1080.0039905265721</v>
      </c>
      <c r="D122" s="2">
        <f t="shared" si="13"/>
        <v>18.0000665087762</v>
      </c>
      <c r="E122" s="2">
        <f t="shared" si="14"/>
        <v>28</v>
      </c>
    </row>
    <row r="123" spans="2:5" x14ac:dyDescent="0.25">
      <c r="B123">
        <v>94</v>
      </c>
      <c r="C123" s="2">
        <f t="shared" si="12"/>
        <v>1070.0040570353483</v>
      </c>
      <c r="D123" s="2">
        <f t="shared" si="13"/>
        <v>17.833400950589137</v>
      </c>
      <c r="E123" s="2">
        <f t="shared" si="14"/>
        <v>27.83</v>
      </c>
    </row>
    <row r="124" spans="2:5" x14ac:dyDescent="0.25">
      <c r="B124">
        <v>95</v>
      </c>
      <c r="C124" s="2">
        <f t="shared" si="12"/>
        <v>1060.0074579859374</v>
      </c>
      <c r="D124" s="2">
        <f t="shared" si="13"/>
        <v>17.666790966432291</v>
      </c>
      <c r="E124" s="2">
        <f t="shared" si="14"/>
        <v>27.67</v>
      </c>
    </row>
    <row r="125" spans="2:5" x14ac:dyDescent="0.25">
      <c r="B125">
        <v>96</v>
      </c>
      <c r="C125" s="2">
        <f t="shared" si="12"/>
        <v>1050.0042489523696</v>
      </c>
      <c r="D125" s="2">
        <f t="shared" si="13"/>
        <v>17.500070815872828</v>
      </c>
      <c r="E125" s="2">
        <f t="shared" si="14"/>
        <v>27.5</v>
      </c>
    </row>
    <row r="126" spans="2:5" x14ac:dyDescent="0.25">
      <c r="B126">
        <v>97</v>
      </c>
      <c r="C126" s="2">
        <f t="shared" si="12"/>
        <v>1040.0043197682423</v>
      </c>
      <c r="D126" s="2">
        <f t="shared" si="13"/>
        <v>17.333405329470704</v>
      </c>
      <c r="E126" s="2">
        <f t="shared" si="14"/>
        <v>27.33</v>
      </c>
    </row>
    <row r="127" spans="2:5" x14ac:dyDescent="0.25">
      <c r="B127">
        <v>98</v>
      </c>
      <c r="C127" s="2">
        <f t="shared" si="12"/>
        <v>1030.0077250977131</v>
      </c>
      <c r="D127" s="2">
        <f t="shared" si="13"/>
        <v>17.166795418295219</v>
      </c>
      <c r="E127" s="2">
        <f t="shared" si="14"/>
        <v>27.17</v>
      </c>
    </row>
    <row r="128" spans="2:5" x14ac:dyDescent="0.25">
      <c r="B128">
        <v>99</v>
      </c>
      <c r="C128" s="2">
        <f t="shared" si="12"/>
        <v>1020.0045205160083</v>
      </c>
      <c r="D128" s="2">
        <f t="shared" si="13"/>
        <v>17.000075341933471</v>
      </c>
      <c r="E128" s="2">
        <f t="shared" si="14"/>
        <v>27</v>
      </c>
    </row>
    <row r="129" spans="2:5" x14ac:dyDescent="0.25">
      <c r="B129">
        <v>100</v>
      </c>
      <c r="C129" s="2">
        <f t="shared" si="12"/>
        <v>1010.0045958579417</v>
      </c>
      <c r="D129" s="2">
        <f t="shared" si="13"/>
        <v>16.833409930965693</v>
      </c>
      <c r="E129" s="2">
        <f t="shared" si="14"/>
        <v>26.83</v>
      </c>
    </row>
    <row r="130" spans="2:5" x14ac:dyDescent="0.25">
      <c r="B130">
        <v>101</v>
      </c>
      <c r="C130" s="2">
        <f t="shared" si="12"/>
        <v>1000.0080057889073</v>
      </c>
      <c r="D130" s="2">
        <f t="shared" si="13"/>
        <v>16.66680009648179</v>
      </c>
      <c r="E130" s="2">
        <f t="shared" si="14"/>
        <v>26.67</v>
      </c>
    </row>
    <row r="131" spans="2:5" x14ac:dyDescent="0.25">
      <c r="B131">
        <v>102</v>
      </c>
      <c r="C131" s="2">
        <f t="shared" si="12"/>
        <v>990.00480588538915</v>
      </c>
      <c r="D131" s="2">
        <f t="shared" si="13"/>
        <v>16.500080098089818</v>
      </c>
      <c r="E131" s="2">
        <f t="shared" si="14"/>
        <v>26.5</v>
      </c>
    </row>
    <row r="132" spans="2:5" x14ac:dyDescent="0.25">
      <c r="B132">
        <v>103</v>
      </c>
      <c r="C132" s="2">
        <f t="shared" si="12"/>
        <v>980.00488598347897</v>
      </c>
      <c r="D132" s="2">
        <f t="shared" si="13"/>
        <v>16.333414766391314</v>
      </c>
      <c r="E132" s="2">
        <f t="shared" si="14"/>
        <v>26.33</v>
      </c>
    </row>
    <row r="133" spans="2:5" x14ac:dyDescent="0.25">
      <c r="B133">
        <v>104</v>
      </c>
      <c r="C133" s="2">
        <f t="shared" si="12"/>
        <v>970.00830074987027</v>
      </c>
      <c r="D133" s="2">
        <f t="shared" si="13"/>
        <v>16.166805012497839</v>
      </c>
      <c r="E133" s="2">
        <f t="shared" si="14"/>
        <v>26.17</v>
      </c>
    </row>
    <row r="134" spans="2:5" x14ac:dyDescent="0.25">
      <c r="B134">
        <v>105</v>
      </c>
      <c r="C134" s="2">
        <f t="shared" si="12"/>
        <v>960.0051057623682</v>
      </c>
      <c r="D134" s="2">
        <f t="shared" si="13"/>
        <v>16.00008509603947</v>
      </c>
      <c r="E134" s="2">
        <f t="shared" si="14"/>
        <v>26</v>
      </c>
    </row>
    <row r="135" spans="2:5" x14ac:dyDescent="0.25">
      <c r="B135">
        <v>106</v>
      </c>
      <c r="C135" s="2">
        <f t="shared" si="12"/>
        <v>950.00519085840767</v>
      </c>
      <c r="D135" s="2">
        <f t="shared" si="13"/>
        <v>15.833419847640128</v>
      </c>
      <c r="E135" s="2">
        <f t="shared" si="14"/>
        <v>25.83</v>
      </c>
    </row>
    <row r="136" spans="2:5" x14ac:dyDescent="0.25">
      <c r="B136">
        <v>107</v>
      </c>
      <c r="C136" s="2">
        <f t="shared" si="12"/>
        <v>940.00861070604776</v>
      </c>
      <c r="D136" s="2">
        <f t="shared" si="13"/>
        <v>15.66681017843413</v>
      </c>
      <c r="E136" s="2">
        <f t="shared" si="14"/>
        <v>25.67</v>
      </c>
    </row>
    <row r="137" spans="2:5" x14ac:dyDescent="0.25">
      <c r="B137">
        <v>108</v>
      </c>
      <c r="C137" s="2">
        <f t="shared" si="12"/>
        <v>930.00542088448196</v>
      </c>
      <c r="D137" s="2">
        <f t="shared" si="13"/>
        <v>15.5000903480747</v>
      </c>
      <c r="E137" s="2">
        <f t="shared" si="14"/>
        <v>25.5</v>
      </c>
    </row>
    <row r="138" spans="2:5" x14ac:dyDescent="0.25">
      <c r="B138">
        <v>109</v>
      </c>
      <c r="C138" s="2">
        <f t="shared" si="12"/>
        <v>920.00551123255661</v>
      </c>
      <c r="D138" s="2">
        <f t="shared" si="13"/>
        <v>15.333425187209277</v>
      </c>
      <c r="E138" s="2">
        <f t="shared" si="14"/>
        <v>25.33</v>
      </c>
    </row>
    <row r="139" spans="2:5" x14ac:dyDescent="0.25">
      <c r="B139">
        <v>110</v>
      </c>
      <c r="C139" s="2">
        <f t="shared" si="12"/>
        <v>910.00893641976586</v>
      </c>
      <c r="D139" s="2">
        <f t="shared" si="13"/>
        <v>15.166815606996098</v>
      </c>
      <c r="E139" s="2">
        <f t="shared" si="14"/>
        <v>25.17</v>
      </c>
    </row>
    <row r="140" spans="2:5" x14ac:dyDescent="0.25">
      <c r="B140">
        <v>111</v>
      </c>
      <c r="C140" s="2">
        <f t="shared" si="12"/>
        <v>900.00575202676202</v>
      </c>
      <c r="D140" s="2">
        <f t="shared" si="13"/>
        <v>15.0000958671127</v>
      </c>
      <c r="E140" s="2">
        <f t="shared" si="14"/>
        <v>25</v>
      </c>
    </row>
    <row r="141" spans="2:5" x14ac:dyDescent="0.25">
      <c r="B141">
        <v>112</v>
      </c>
      <c r="C141" s="2">
        <f t="shared" si="12"/>
        <v>890.00584789387472</v>
      </c>
      <c r="D141" s="2">
        <f t="shared" si="13"/>
        <v>14.833430798231245</v>
      </c>
      <c r="E141" s="2">
        <f t="shared" si="14"/>
        <v>24.83</v>
      </c>
    </row>
    <row r="142" spans="2:5" x14ac:dyDescent="0.25">
      <c r="B142">
        <v>113</v>
      </c>
      <c r="C142" s="2">
        <f t="shared" si="12"/>
        <v>880.00927869210591</v>
      </c>
      <c r="D142" s="2">
        <f t="shared" si="13"/>
        <v>14.666821311535099</v>
      </c>
      <c r="E142" s="2">
        <f t="shared" si="14"/>
        <v>24.67</v>
      </c>
    </row>
    <row r="143" spans="2:5" x14ac:dyDescent="0.25">
      <c r="B143">
        <v>114</v>
      </c>
      <c r="C143" s="2">
        <f t="shared" si="12"/>
        <v>870.006100003641</v>
      </c>
      <c r="D143" s="2">
        <f t="shared" si="13"/>
        <v>14.50010166672735</v>
      </c>
      <c r="E143" s="2">
        <f t="shared" si="14"/>
        <v>24.5</v>
      </c>
    </row>
    <row r="144" spans="2:5" x14ac:dyDescent="0.25">
      <c r="B144">
        <v>115</v>
      </c>
      <c r="C144" s="2">
        <f t="shared" si="12"/>
        <v>860.00620167036834</v>
      </c>
      <c r="D144" s="2">
        <f t="shared" si="13"/>
        <v>14.333436694506139</v>
      </c>
      <c r="E144" s="2">
        <f t="shared" si="14"/>
        <v>24.33</v>
      </c>
    </row>
    <row r="145" spans="2:5" x14ac:dyDescent="0.25">
      <c r="B145">
        <v>116</v>
      </c>
      <c r="C145" s="2">
        <f t="shared" si="12"/>
        <v>850.00963836487449</v>
      </c>
      <c r="D145" s="2">
        <f t="shared" si="13"/>
        <v>14.166827306081242</v>
      </c>
      <c r="E145" s="2">
        <f t="shared" si="14"/>
        <v>24.17</v>
      </c>
    </row>
    <row r="146" spans="2:5" x14ac:dyDescent="0.25">
      <c r="B146">
        <v>117</v>
      </c>
      <c r="C146" s="2">
        <f t="shared" si="12"/>
        <v>840.00646567095578</v>
      </c>
      <c r="D146" s="2">
        <f t="shared" si="13"/>
        <v>14.000107761182596</v>
      </c>
      <c r="E146" s="2">
        <f t="shared" si="14"/>
        <v>24</v>
      </c>
    </row>
    <row r="147" spans="2:5" x14ac:dyDescent="0.25">
      <c r="B147">
        <v>118</v>
      </c>
      <c r="C147" s="2">
        <f t="shared" si="12"/>
        <v>830.00657343213834</v>
      </c>
      <c r="D147" s="2">
        <f t="shared" si="13"/>
        <v>13.833442890535638</v>
      </c>
      <c r="E147" s="2">
        <f t="shared" si="14"/>
        <v>23.83</v>
      </c>
    </row>
    <row r="148" spans="2:5" x14ac:dyDescent="0.25">
      <c r="B148">
        <v>119</v>
      </c>
      <c r="C148" s="2">
        <f t="shared" si="12"/>
        <v>820.01001632267389</v>
      </c>
      <c r="D148" s="2">
        <f t="shared" si="13"/>
        <v>13.666833605377898</v>
      </c>
      <c r="E148" s="2">
        <f t="shared" si="14"/>
        <v>23.67</v>
      </c>
    </row>
    <row r="149" spans="2:5" x14ac:dyDescent="0.25">
      <c r="B149">
        <v>120</v>
      </c>
      <c r="C149" s="2">
        <f t="shared" si="12"/>
        <v>810.00684992805179</v>
      </c>
      <c r="D149" s="2">
        <f t="shared" si="13"/>
        <v>13.500114165467529</v>
      </c>
      <c r="E149" s="2">
        <f t="shared" si="14"/>
        <v>23.5</v>
      </c>
    </row>
    <row r="150" spans="2:5" x14ac:dyDescent="0.25">
      <c r="B150">
        <v>121</v>
      </c>
      <c r="C150" s="2">
        <f t="shared" si="12"/>
        <v>800.00696409351929</v>
      </c>
      <c r="D150" s="2">
        <f t="shared" si="13"/>
        <v>13.333449401558655</v>
      </c>
      <c r="E150" s="2">
        <f t="shared" si="14"/>
        <v>23.33</v>
      </c>
    </row>
    <row r="151" spans="2:5" x14ac:dyDescent="0.25">
      <c r="B151">
        <v>122</v>
      </c>
      <c r="C151" s="2">
        <f t="shared" si="12"/>
        <v>790.01041349507796</v>
      </c>
      <c r="D151" s="2">
        <f t="shared" si="13"/>
        <v>13.166840224917966</v>
      </c>
      <c r="E151" s="2">
        <f t="shared" si="14"/>
        <v>23.17</v>
      </c>
    </row>
    <row r="152" spans="2:5" x14ac:dyDescent="0.25">
      <c r="B152">
        <v>123</v>
      </c>
      <c r="C152" s="2">
        <f t="shared" si="12"/>
        <v>780.00725371999602</v>
      </c>
      <c r="D152" s="2">
        <f t="shared" si="13"/>
        <v>13.000120895333266</v>
      </c>
      <c r="E152" s="2">
        <f t="shared" si="14"/>
        <v>23</v>
      </c>
    </row>
    <row r="153" spans="2:5" x14ac:dyDescent="0.25">
      <c r="B153">
        <v>124</v>
      </c>
      <c r="C153" s="2">
        <f t="shared" si="12"/>
        <v>770.00737461532924</v>
      </c>
      <c r="D153" s="2">
        <f t="shared" si="13"/>
        <v>12.83345624358882</v>
      </c>
      <c r="E153" s="2">
        <f t="shared" si="14"/>
        <v>22.83</v>
      </c>
    </row>
    <row r="154" spans="2:5" x14ac:dyDescent="0.25">
      <c r="B154">
        <v>125</v>
      </c>
      <c r="C154" s="2">
        <f t="shared" si="12"/>
        <v>760.01083085891798</v>
      </c>
      <c r="D154" s="2">
        <f t="shared" si="13"/>
        <v>12.666847180981966</v>
      </c>
      <c r="E154" s="2">
        <f t="shared" si="14"/>
        <v>22.67</v>
      </c>
    </row>
    <row r="155" spans="2:5" x14ac:dyDescent="0.25">
      <c r="B155">
        <v>126</v>
      </c>
      <c r="C155" s="2">
        <f t="shared" si="12"/>
        <v>750.00767803990004</v>
      </c>
      <c r="D155" s="2">
        <f t="shared" si="13"/>
        <v>12.500127967331668</v>
      </c>
      <c r="E155" s="2">
        <f t="shared" si="14"/>
        <v>22.5</v>
      </c>
    </row>
    <row r="156" spans="2:5" x14ac:dyDescent="0.25">
      <c r="B156">
        <v>127</v>
      </c>
      <c r="C156" s="2">
        <f t="shared" si="12"/>
        <v>740.00780600723169</v>
      </c>
      <c r="D156" s="2">
        <f t="shared" si="13"/>
        <v>12.333463433453861</v>
      </c>
      <c r="E156" s="2">
        <f t="shared" si="14"/>
        <v>22.33</v>
      </c>
    </row>
    <row r="157" spans="2:5" x14ac:dyDescent="0.25">
      <c r="B157">
        <v>128</v>
      </c>
      <c r="C157" s="2">
        <f t="shared" si="12"/>
        <v>730.01126944068551</v>
      </c>
      <c r="D157" s="2">
        <f t="shared" si="13"/>
        <v>12.166854490678091</v>
      </c>
      <c r="E157" s="2">
        <f t="shared" si="14"/>
        <v>22.17</v>
      </c>
    </row>
    <row r="158" spans="2:5" x14ac:dyDescent="0.25">
      <c r="B158">
        <v>129</v>
      </c>
      <c r="C158" s="2">
        <f t="shared" si="12"/>
        <v>720.00812393136368</v>
      </c>
      <c r="D158" s="2">
        <f t="shared" si="13"/>
        <v>12.000135398856061</v>
      </c>
      <c r="E158" s="2">
        <f t="shared" si="14"/>
        <v>22</v>
      </c>
    </row>
    <row r="159" spans="2:5" x14ac:dyDescent="0.25">
      <c r="B159">
        <v>130</v>
      </c>
      <c r="C159" s="2">
        <f t="shared" si="12"/>
        <v>710.00825933021974</v>
      </c>
      <c r="D159" s="2">
        <f t="shared" si="13"/>
        <v>11.833470988836996</v>
      </c>
      <c r="E159" s="2">
        <f t="shared" si="14"/>
        <v>21.83</v>
      </c>
    </row>
    <row r="160" spans="2:5" x14ac:dyDescent="0.25">
      <c r="B160">
        <v>131</v>
      </c>
      <c r="C160" s="2">
        <f t="shared" si="12"/>
        <v>700.01173031905671</v>
      </c>
      <c r="D160" s="2">
        <f t="shared" si="13"/>
        <v>11.666862171984278</v>
      </c>
      <c r="E160" s="2">
        <f t="shared" si="14"/>
        <v>21.67</v>
      </c>
    </row>
    <row r="161" spans="2:5" x14ac:dyDescent="0.25">
      <c r="B161">
        <v>132</v>
      </c>
      <c r="C161" s="2">
        <f t="shared" si="12"/>
        <v>690.00859249104099</v>
      </c>
      <c r="D161" s="2">
        <f t="shared" si="13"/>
        <v>11.500143208184017</v>
      </c>
      <c r="E161" s="2">
        <f t="shared" si="14"/>
        <v>21.5</v>
      </c>
    </row>
    <row r="162" spans="2:5" x14ac:dyDescent="0.25">
      <c r="B162">
        <v>133</v>
      </c>
      <c r="C162" s="2">
        <f t="shared" ref="C162:C225" si="15">C161+D161-E161</f>
        <v>680.00873569922499</v>
      </c>
      <c r="D162" s="2">
        <f t="shared" ref="D162:D225" si="16">C162*$D$28</f>
        <v>11.333478928320416</v>
      </c>
      <c r="E162" s="2">
        <f t="shared" ref="E162:E225" si="17">ROUND(IF(C162&gt;10,10,C162)+D162,2)</f>
        <v>21.33</v>
      </c>
    </row>
    <row r="163" spans="2:5" x14ac:dyDescent="0.25">
      <c r="B163">
        <v>134</v>
      </c>
      <c r="C163" s="2">
        <f t="shared" si="15"/>
        <v>670.0122146275454</v>
      </c>
      <c r="D163" s="2">
        <f t="shared" si="16"/>
        <v>11.166870243792424</v>
      </c>
      <c r="E163" s="2">
        <f t="shared" si="17"/>
        <v>21.17</v>
      </c>
    </row>
    <row r="164" spans="2:5" x14ac:dyDescent="0.25">
      <c r="B164">
        <v>135</v>
      </c>
      <c r="C164" s="2">
        <f t="shared" si="15"/>
        <v>660.0090848713379</v>
      </c>
      <c r="D164" s="2">
        <f t="shared" si="16"/>
        <v>11.000151414522298</v>
      </c>
      <c r="E164" s="2">
        <f t="shared" si="17"/>
        <v>21</v>
      </c>
    </row>
    <row r="165" spans="2:5" x14ac:dyDescent="0.25">
      <c r="B165">
        <v>136</v>
      </c>
      <c r="C165" s="2">
        <f t="shared" si="15"/>
        <v>650.0092362858602</v>
      </c>
      <c r="D165" s="2">
        <f t="shared" si="16"/>
        <v>10.833487271431004</v>
      </c>
      <c r="E165" s="2">
        <f t="shared" si="17"/>
        <v>20.83</v>
      </c>
    </row>
    <row r="166" spans="2:5" x14ac:dyDescent="0.25">
      <c r="B166">
        <v>137</v>
      </c>
      <c r="C166" s="2">
        <f t="shared" si="15"/>
        <v>640.01272355729111</v>
      </c>
      <c r="D166" s="2">
        <f t="shared" si="16"/>
        <v>10.666878725954852</v>
      </c>
      <c r="E166" s="2">
        <f t="shared" si="17"/>
        <v>20.67</v>
      </c>
    </row>
    <row r="167" spans="2:5" x14ac:dyDescent="0.25">
      <c r="B167">
        <v>138</v>
      </c>
      <c r="C167" s="2">
        <f t="shared" si="15"/>
        <v>630.00960228324595</v>
      </c>
      <c r="D167" s="2">
        <f t="shared" si="16"/>
        <v>10.5001600380541</v>
      </c>
      <c r="E167" s="2">
        <f t="shared" si="17"/>
        <v>20.5</v>
      </c>
    </row>
    <row r="168" spans="2:5" x14ac:dyDescent="0.25">
      <c r="B168">
        <v>139</v>
      </c>
      <c r="C168" s="2">
        <f t="shared" si="15"/>
        <v>620.00976232130006</v>
      </c>
      <c r="D168" s="2">
        <f t="shared" si="16"/>
        <v>10.333496038688335</v>
      </c>
      <c r="E168" s="2">
        <f t="shared" si="17"/>
        <v>20.329999999999998</v>
      </c>
    </row>
    <row r="169" spans="2:5" x14ac:dyDescent="0.25">
      <c r="B169">
        <v>140</v>
      </c>
      <c r="C169" s="2">
        <f t="shared" si="15"/>
        <v>610.0132583599883</v>
      </c>
      <c r="D169" s="2">
        <f t="shared" si="16"/>
        <v>10.166887639333138</v>
      </c>
      <c r="E169" s="2">
        <f t="shared" si="17"/>
        <v>20.170000000000002</v>
      </c>
    </row>
    <row r="170" spans="2:5" x14ac:dyDescent="0.25">
      <c r="B170">
        <v>141</v>
      </c>
      <c r="C170" s="2">
        <f t="shared" si="15"/>
        <v>600.01014599932148</v>
      </c>
      <c r="D170" s="2">
        <f t="shared" si="16"/>
        <v>10.000169099988691</v>
      </c>
      <c r="E170" s="2">
        <f t="shared" si="17"/>
        <v>20</v>
      </c>
    </row>
    <row r="171" spans="2:5" x14ac:dyDescent="0.25">
      <c r="B171">
        <v>142</v>
      </c>
      <c r="C171" s="2">
        <f t="shared" si="15"/>
        <v>590.01031509931022</v>
      </c>
      <c r="D171" s="2">
        <f t="shared" si="16"/>
        <v>9.8335052516551702</v>
      </c>
      <c r="E171" s="2">
        <f t="shared" si="17"/>
        <v>19.829999999999998</v>
      </c>
    </row>
    <row r="172" spans="2:5" x14ac:dyDescent="0.25">
      <c r="B172">
        <v>143</v>
      </c>
      <c r="C172" s="2">
        <f t="shared" si="15"/>
        <v>580.01382035096537</v>
      </c>
      <c r="D172" s="2">
        <f t="shared" si="16"/>
        <v>9.6668970058494228</v>
      </c>
      <c r="E172" s="2">
        <f t="shared" si="17"/>
        <v>19.670000000000002</v>
      </c>
    </row>
    <row r="173" spans="2:5" x14ac:dyDescent="0.25">
      <c r="B173">
        <v>144</v>
      </c>
      <c r="C173" s="2">
        <f t="shared" si="15"/>
        <v>570.01071735681489</v>
      </c>
      <c r="D173" s="2">
        <f t="shared" si="16"/>
        <v>9.500178622613582</v>
      </c>
      <c r="E173" s="2">
        <f t="shared" si="17"/>
        <v>19.5</v>
      </c>
    </row>
    <row r="174" spans="2:5" x14ac:dyDescent="0.25">
      <c r="B174">
        <v>145</v>
      </c>
      <c r="C174" s="2">
        <f t="shared" si="15"/>
        <v>560.01089597942848</v>
      </c>
      <c r="D174" s="2">
        <f t="shared" si="16"/>
        <v>9.3335149329904752</v>
      </c>
      <c r="E174" s="2">
        <f t="shared" si="17"/>
        <v>19.329999999999998</v>
      </c>
    </row>
    <row r="175" spans="2:5" x14ac:dyDescent="0.25">
      <c r="B175">
        <v>146</v>
      </c>
      <c r="C175" s="2">
        <f t="shared" si="15"/>
        <v>550.01441091241895</v>
      </c>
      <c r="D175" s="2">
        <f t="shared" si="16"/>
        <v>9.1669068485403162</v>
      </c>
      <c r="E175" s="2">
        <f t="shared" si="17"/>
        <v>19.170000000000002</v>
      </c>
    </row>
    <row r="176" spans="2:5" x14ac:dyDescent="0.25">
      <c r="B176">
        <v>147</v>
      </c>
      <c r="C176" s="2">
        <f t="shared" si="15"/>
        <v>540.01131776095929</v>
      </c>
      <c r="D176" s="2">
        <f t="shared" si="16"/>
        <v>9.0001886293493207</v>
      </c>
      <c r="E176" s="2">
        <f t="shared" si="17"/>
        <v>19</v>
      </c>
    </row>
    <row r="177" spans="2:5" x14ac:dyDescent="0.25">
      <c r="B177">
        <v>148</v>
      </c>
      <c r="C177" s="2">
        <f t="shared" si="15"/>
        <v>530.01150639030857</v>
      </c>
      <c r="D177" s="2">
        <f t="shared" si="16"/>
        <v>8.8335251065051423</v>
      </c>
      <c r="E177" s="2">
        <f t="shared" si="17"/>
        <v>18.829999999999998</v>
      </c>
    </row>
    <row r="178" spans="2:5" x14ac:dyDescent="0.25">
      <c r="B178">
        <v>149</v>
      </c>
      <c r="C178" s="2">
        <f t="shared" si="15"/>
        <v>520.01503149681366</v>
      </c>
      <c r="D178" s="2">
        <f t="shared" si="16"/>
        <v>8.6669171916135603</v>
      </c>
      <c r="E178" s="2">
        <f t="shared" si="17"/>
        <v>18.670000000000002</v>
      </c>
    </row>
    <row r="179" spans="2:5" x14ac:dyDescent="0.25">
      <c r="B179">
        <v>150</v>
      </c>
      <c r="C179" s="2">
        <f t="shared" si="15"/>
        <v>510.01194868842725</v>
      </c>
      <c r="D179" s="2">
        <f t="shared" si="16"/>
        <v>8.5001991448071212</v>
      </c>
      <c r="E179" s="2">
        <f t="shared" si="17"/>
        <v>18.5</v>
      </c>
    </row>
    <row r="180" spans="2:5" x14ac:dyDescent="0.25">
      <c r="B180">
        <v>151</v>
      </c>
      <c r="C180" s="2">
        <f t="shared" si="15"/>
        <v>500.01214783323439</v>
      </c>
      <c r="D180" s="2">
        <f t="shared" si="16"/>
        <v>8.3335357972205735</v>
      </c>
      <c r="E180" s="2">
        <f t="shared" si="17"/>
        <v>18.329999999999998</v>
      </c>
    </row>
    <row r="181" spans="2:5" x14ac:dyDescent="0.25">
      <c r="B181">
        <v>152</v>
      </c>
      <c r="C181" s="2">
        <f t="shared" si="15"/>
        <v>490.01568363045499</v>
      </c>
      <c r="D181" s="2">
        <f t="shared" si="16"/>
        <v>8.1669280605075834</v>
      </c>
      <c r="E181" s="2">
        <f t="shared" si="17"/>
        <v>18.170000000000002</v>
      </c>
    </row>
    <row r="182" spans="2:5" x14ac:dyDescent="0.25">
      <c r="B182">
        <v>153</v>
      </c>
      <c r="C182" s="2">
        <f t="shared" si="15"/>
        <v>480.01261169096256</v>
      </c>
      <c r="D182" s="2">
        <f t="shared" si="16"/>
        <v>8.0002101948493767</v>
      </c>
      <c r="E182" s="2">
        <f t="shared" si="17"/>
        <v>18</v>
      </c>
    </row>
    <row r="183" spans="2:5" x14ac:dyDescent="0.25">
      <c r="B183">
        <v>154</v>
      </c>
      <c r="C183" s="2">
        <f t="shared" si="15"/>
        <v>470.01282188581195</v>
      </c>
      <c r="D183" s="2">
        <f t="shared" si="16"/>
        <v>7.8335470314301991</v>
      </c>
      <c r="E183" s="2">
        <f t="shared" si="17"/>
        <v>17.829999999999998</v>
      </c>
    </row>
    <row r="184" spans="2:5" x14ac:dyDescent="0.25">
      <c r="B184">
        <v>155</v>
      </c>
      <c r="C184" s="2">
        <f t="shared" si="15"/>
        <v>460.01636891724218</v>
      </c>
      <c r="D184" s="2">
        <f t="shared" si="16"/>
        <v>7.666939481954036</v>
      </c>
      <c r="E184" s="2">
        <f t="shared" si="17"/>
        <v>17.670000000000002</v>
      </c>
    </row>
    <row r="185" spans="2:5" x14ac:dyDescent="0.25">
      <c r="B185">
        <v>156</v>
      </c>
      <c r="C185" s="2">
        <f t="shared" si="15"/>
        <v>450.01330839919621</v>
      </c>
      <c r="D185" s="2">
        <f t="shared" si="16"/>
        <v>7.5002218066532702</v>
      </c>
      <c r="E185" s="2">
        <f t="shared" si="17"/>
        <v>17.5</v>
      </c>
    </row>
    <row r="186" spans="2:5" x14ac:dyDescent="0.25">
      <c r="B186">
        <v>157</v>
      </c>
      <c r="C186" s="2">
        <f t="shared" si="15"/>
        <v>440.01353020584946</v>
      </c>
      <c r="D186" s="2">
        <f t="shared" si="16"/>
        <v>7.3335588367641575</v>
      </c>
      <c r="E186" s="2">
        <f t="shared" si="17"/>
        <v>17.329999999999998</v>
      </c>
    </row>
    <row r="187" spans="2:5" x14ac:dyDescent="0.25">
      <c r="B187">
        <v>158</v>
      </c>
      <c r="C187" s="2">
        <f t="shared" si="15"/>
        <v>430.01708904261363</v>
      </c>
      <c r="D187" s="2">
        <f t="shared" si="16"/>
        <v>7.1669514840435609</v>
      </c>
      <c r="E187" s="2">
        <f t="shared" si="17"/>
        <v>17.170000000000002</v>
      </c>
    </row>
    <row r="188" spans="2:5" x14ac:dyDescent="0.25">
      <c r="B188">
        <v>159</v>
      </c>
      <c r="C188" s="2">
        <f t="shared" si="15"/>
        <v>420.0140405266572</v>
      </c>
      <c r="D188" s="2">
        <f t="shared" si="16"/>
        <v>7.0002340087776203</v>
      </c>
      <c r="E188" s="2">
        <f t="shared" si="17"/>
        <v>17</v>
      </c>
    </row>
    <row r="189" spans="2:5" x14ac:dyDescent="0.25">
      <c r="B189">
        <v>160</v>
      </c>
      <c r="C189" s="2">
        <f t="shared" si="15"/>
        <v>410.01427453543482</v>
      </c>
      <c r="D189" s="2">
        <f t="shared" si="16"/>
        <v>6.8335712422572472</v>
      </c>
      <c r="E189" s="2">
        <f t="shared" si="17"/>
        <v>16.829999999999998</v>
      </c>
    </row>
    <row r="190" spans="2:5" x14ac:dyDescent="0.25">
      <c r="B190">
        <v>161</v>
      </c>
      <c r="C190" s="2">
        <f t="shared" si="15"/>
        <v>400.01784577769206</v>
      </c>
      <c r="D190" s="2">
        <f t="shared" si="16"/>
        <v>6.6669640962948673</v>
      </c>
      <c r="E190" s="2">
        <f t="shared" si="17"/>
        <v>16.670000000000002</v>
      </c>
    </row>
    <row r="191" spans="2:5" x14ac:dyDescent="0.25">
      <c r="B191">
        <v>162</v>
      </c>
      <c r="C191" s="2">
        <f t="shared" si="15"/>
        <v>390.01480987398691</v>
      </c>
      <c r="D191" s="2">
        <f t="shared" si="16"/>
        <v>6.500246831233115</v>
      </c>
      <c r="E191" s="2">
        <f t="shared" si="17"/>
        <v>16.5</v>
      </c>
    </row>
    <row r="192" spans="2:5" x14ac:dyDescent="0.25">
      <c r="B192">
        <v>163</v>
      </c>
      <c r="C192" s="2">
        <f t="shared" si="15"/>
        <v>380.01505670522005</v>
      </c>
      <c r="D192" s="2">
        <f t="shared" si="16"/>
        <v>6.333584278420334</v>
      </c>
      <c r="E192" s="2">
        <f t="shared" si="17"/>
        <v>16.329999999999998</v>
      </c>
    </row>
    <row r="193" spans="2:5" x14ac:dyDescent="0.25">
      <c r="B193">
        <v>164</v>
      </c>
      <c r="C193" s="2">
        <f t="shared" si="15"/>
        <v>370.01864098364041</v>
      </c>
      <c r="D193" s="2">
        <f t="shared" si="16"/>
        <v>6.1669773497273397</v>
      </c>
      <c r="E193" s="2">
        <f t="shared" si="17"/>
        <v>16.170000000000002</v>
      </c>
    </row>
    <row r="194" spans="2:5" x14ac:dyDescent="0.25">
      <c r="B194">
        <v>165</v>
      </c>
      <c r="C194" s="2">
        <f t="shared" si="15"/>
        <v>360.01561833336774</v>
      </c>
      <c r="D194" s="2">
        <f t="shared" si="16"/>
        <v>6.0002603055561288</v>
      </c>
      <c r="E194" s="2">
        <f t="shared" si="17"/>
        <v>16</v>
      </c>
    </row>
    <row r="195" spans="2:5" x14ac:dyDescent="0.25">
      <c r="B195">
        <v>166</v>
      </c>
      <c r="C195" s="2">
        <f t="shared" si="15"/>
        <v>350.01587863892388</v>
      </c>
      <c r="D195" s="2">
        <f t="shared" si="16"/>
        <v>5.8335979773153976</v>
      </c>
      <c r="E195" s="2">
        <f t="shared" si="17"/>
        <v>15.83</v>
      </c>
    </row>
    <row r="196" spans="2:5" x14ac:dyDescent="0.25">
      <c r="B196">
        <v>167</v>
      </c>
      <c r="C196" s="2">
        <f t="shared" si="15"/>
        <v>340.01947661623927</v>
      </c>
      <c r="D196" s="2">
        <f t="shared" si="16"/>
        <v>5.6669912769373214</v>
      </c>
      <c r="E196" s="2">
        <f t="shared" si="17"/>
        <v>15.67</v>
      </c>
    </row>
    <row r="197" spans="2:5" x14ac:dyDescent="0.25">
      <c r="B197">
        <v>168</v>
      </c>
      <c r="C197" s="2">
        <f t="shared" si="15"/>
        <v>330.01646789317658</v>
      </c>
      <c r="D197" s="2">
        <f t="shared" si="16"/>
        <v>5.5002744648862762</v>
      </c>
      <c r="E197" s="2">
        <f t="shared" si="17"/>
        <v>15.5</v>
      </c>
    </row>
    <row r="198" spans="2:5" x14ac:dyDescent="0.25">
      <c r="B198">
        <v>169</v>
      </c>
      <c r="C198" s="2">
        <f t="shared" si="15"/>
        <v>320.01674235806286</v>
      </c>
      <c r="D198" s="2">
        <f t="shared" si="16"/>
        <v>5.3336123726343807</v>
      </c>
      <c r="E198" s="2">
        <f t="shared" si="17"/>
        <v>15.33</v>
      </c>
    </row>
    <row r="199" spans="2:5" x14ac:dyDescent="0.25">
      <c r="B199">
        <v>170</v>
      </c>
      <c r="C199" s="2">
        <f t="shared" si="15"/>
        <v>310.02035473069725</v>
      </c>
      <c r="D199" s="2">
        <f t="shared" si="16"/>
        <v>5.1670059121782872</v>
      </c>
      <c r="E199" s="2">
        <f t="shared" si="17"/>
        <v>15.17</v>
      </c>
    </row>
    <row r="200" spans="2:5" x14ac:dyDescent="0.25">
      <c r="B200">
        <v>171</v>
      </c>
      <c r="C200" s="2">
        <f t="shared" si="15"/>
        <v>300.01736064287553</v>
      </c>
      <c r="D200" s="2">
        <f t="shared" si="16"/>
        <v>5.0002893440479257</v>
      </c>
      <c r="E200" s="2">
        <f t="shared" si="17"/>
        <v>15</v>
      </c>
    </row>
    <row r="201" spans="2:5" x14ac:dyDescent="0.25">
      <c r="B201">
        <v>172</v>
      </c>
      <c r="C201" s="2">
        <f t="shared" si="15"/>
        <v>290.01764998692346</v>
      </c>
      <c r="D201" s="2">
        <f t="shared" si="16"/>
        <v>4.8336274997820574</v>
      </c>
      <c r="E201" s="2">
        <f t="shared" si="17"/>
        <v>14.83</v>
      </c>
    </row>
    <row r="202" spans="2:5" x14ac:dyDescent="0.25">
      <c r="B202">
        <v>173</v>
      </c>
      <c r="C202" s="2">
        <f t="shared" si="15"/>
        <v>280.02127748670551</v>
      </c>
      <c r="D202" s="2">
        <f t="shared" si="16"/>
        <v>4.6670212914450921</v>
      </c>
      <c r="E202" s="2">
        <f t="shared" si="17"/>
        <v>14.67</v>
      </c>
    </row>
    <row r="203" spans="2:5" x14ac:dyDescent="0.25">
      <c r="B203">
        <v>174</v>
      </c>
      <c r="C203" s="2">
        <f t="shared" si="15"/>
        <v>270.01829877815061</v>
      </c>
      <c r="D203" s="2">
        <f t="shared" si="16"/>
        <v>4.5003049796358434</v>
      </c>
      <c r="E203" s="2">
        <f t="shared" si="17"/>
        <v>14.5</v>
      </c>
    </row>
    <row r="204" spans="2:5" x14ac:dyDescent="0.25">
      <c r="B204">
        <v>175</v>
      </c>
      <c r="C204" s="2">
        <f t="shared" si="15"/>
        <v>260.01860375778648</v>
      </c>
      <c r="D204" s="2">
        <f t="shared" si="16"/>
        <v>4.333643395963108</v>
      </c>
      <c r="E204" s="2">
        <f t="shared" si="17"/>
        <v>14.33</v>
      </c>
    </row>
    <row r="205" spans="2:5" x14ac:dyDescent="0.25">
      <c r="B205">
        <v>176</v>
      </c>
      <c r="C205" s="2">
        <f t="shared" si="15"/>
        <v>250.02224715374959</v>
      </c>
      <c r="D205" s="2">
        <f t="shared" si="16"/>
        <v>4.1670374525624929</v>
      </c>
      <c r="E205" s="2">
        <f t="shared" si="17"/>
        <v>14.17</v>
      </c>
    </row>
    <row r="206" spans="2:5" x14ac:dyDescent="0.25">
      <c r="B206">
        <v>177</v>
      </c>
      <c r="C206" s="2">
        <f t="shared" si="15"/>
        <v>240.01928460631208</v>
      </c>
      <c r="D206" s="2">
        <f t="shared" si="16"/>
        <v>4.0003214101052009</v>
      </c>
      <c r="E206" s="2">
        <f t="shared" si="17"/>
        <v>14</v>
      </c>
    </row>
    <row r="207" spans="2:5" x14ac:dyDescent="0.25">
      <c r="B207">
        <v>178</v>
      </c>
      <c r="C207" s="2">
        <f t="shared" si="15"/>
        <v>230.0196060164173</v>
      </c>
      <c r="D207" s="2">
        <f t="shared" si="16"/>
        <v>3.8336601002736215</v>
      </c>
      <c r="E207" s="2">
        <f t="shared" si="17"/>
        <v>13.83</v>
      </c>
    </row>
    <row r="208" spans="2:5" x14ac:dyDescent="0.25">
      <c r="B208">
        <v>179</v>
      </c>
      <c r="C208" s="2">
        <f t="shared" si="15"/>
        <v>220.02326611669091</v>
      </c>
      <c r="D208" s="2">
        <f t="shared" si="16"/>
        <v>3.6670544352781818</v>
      </c>
      <c r="E208" s="2">
        <f t="shared" si="17"/>
        <v>13.67</v>
      </c>
    </row>
    <row r="209" spans="2:5" x14ac:dyDescent="0.25">
      <c r="B209">
        <v>180</v>
      </c>
      <c r="C209" s="2">
        <f t="shared" si="15"/>
        <v>210.02032055196909</v>
      </c>
      <c r="D209" s="2">
        <f t="shared" si="16"/>
        <v>3.5003386758661517</v>
      </c>
      <c r="E209" s="2">
        <f t="shared" si="17"/>
        <v>13.5</v>
      </c>
    </row>
    <row r="210" spans="2:5" x14ac:dyDescent="0.25">
      <c r="B210">
        <v>181</v>
      </c>
      <c r="C210" s="2">
        <f t="shared" si="15"/>
        <v>200.02065922783524</v>
      </c>
      <c r="D210" s="2">
        <f t="shared" si="16"/>
        <v>3.3336776537972539</v>
      </c>
      <c r="E210" s="2">
        <f t="shared" si="17"/>
        <v>13.33</v>
      </c>
    </row>
    <row r="211" spans="2:5" x14ac:dyDescent="0.25">
      <c r="B211">
        <v>182</v>
      </c>
      <c r="C211" s="2">
        <f t="shared" si="15"/>
        <v>190.02433688163248</v>
      </c>
      <c r="D211" s="2">
        <f t="shared" si="16"/>
        <v>3.1670722813605412</v>
      </c>
      <c r="E211" s="2">
        <f t="shared" si="17"/>
        <v>13.17</v>
      </c>
    </row>
    <row r="212" spans="2:5" x14ac:dyDescent="0.25">
      <c r="B212">
        <v>183</v>
      </c>
      <c r="C212" s="2">
        <f t="shared" si="15"/>
        <v>180.02140916299302</v>
      </c>
      <c r="D212" s="2">
        <f t="shared" si="16"/>
        <v>3.0003568193832169</v>
      </c>
      <c r="E212" s="2">
        <f t="shared" si="17"/>
        <v>13</v>
      </c>
    </row>
    <row r="213" spans="2:5" x14ac:dyDescent="0.25">
      <c r="B213">
        <v>184</v>
      </c>
      <c r="C213" s="2">
        <f t="shared" si="15"/>
        <v>170.02176598237625</v>
      </c>
      <c r="D213" s="2">
        <f t="shared" si="16"/>
        <v>2.833696099706271</v>
      </c>
      <c r="E213" s="2">
        <f t="shared" si="17"/>
        <v>12.83</v>
      </c>
    </row>
    <row r="214" spans="2:5" x14ac:dyDescent="0.25">
      <c r="B214">
        <v>185</v>
      </c>
      <c r="C214" s="2">
        <f t="shared" si="15"/>
        <v>160.0254620820825</v>
      </c>
      <c r="D214" s="2">
        <f t="shared" si="16"/>
        <v>2.6670910347013748</v>
      </c>
      <c r="E214" s="2">
        <f t="shared" si="17"/>
        <v>12.67</v>
      </c>
    </row>
    <row r="215" spans="2:5" x14ac:dyDescent="0.25">
      <c r="B215">
        <v>186</v>
      </c>
      <c r="C215" s="2">
        <f t="shared" si="15"/>
        <v>150.02255311678388</v>
      </c>
      <c r="D215" s="2">
        <f t="shared" si="16"/>
        <v>2.5003758852797313</v>
      </c>
      <c r="E215" s="2">
        <f t="shared" si="17"/>
        <v>12.5</v>
      </c>
    </row>
    <row r="216" spans="2:5" x14ac:dyDescent="0.25">
      <c r="B216">
        <v>187</v>
      </c>
      <c r="C216" s="2">
        <f t="shared" si="15"/>
        <v>140.02292900206362</v>
      </c>
      <c r="D216" s="2">
        <f t="shared" si="16"/>
        <v>2.3337154833677269</v>
      </c>
      <c r="E216" s="2">
        <f t="shared" si="17"/>
        <v>12.33</v>
      </c>
    </row>
    <row r="217" spans="2:5" x14ac:dyDescent="0.25">
      <c r="B217">
        <v>188</v>
      </c>
      <c r="C217" s="2">
        <f t="shared" si="15"/>
        <v>130.02664448543135</v>
      </c>
      <c r="D217" s="2">
        <f t="shared" si="16"/>
        <v>2.1671107414238557</v>
      </c>
      <c r="E217" s="2">
        <f t="shared" si="17"/>
        <v>12.17</v>
      </c>
    </row>
    <row r="218" spans="2:5" x14ac:dyDescent="0.25">
      <c r="B218">
        <v>189</v>
      </c>
      <c r="C218" s="2">
        <f t="shared" si="15"/>
        <v>120.02375522685522</v>
      </c>
      <c r="D218" s="2">
        <f t="shared" si="16"/>
        <v>2.0003959204475867</v>
      </c>
      <c r="E218" s="2">
        <f t="shared" si="17"/>
        <v>12</v>
      </c>
    </row>
    <row r="219" spans="2:5" x14ac:dyDescent="0.25">
      <c r="B219">
        <v>190</v>
      </c>
      <c r="C219" s="2">
        <f t="shared" si="15"/>
        <v>110.0241511473028</v>
      </c>
      <c r="D219" s="2">
        <f t="shared" si="16"/>
        <v>1.8337358524550467</v>
      </c>
      <c r="E219" s="2">
        <f t="shared" si="17"/>
        <v>11.83</v>
      </c>
    </row>
    <row r="220" spans="2:5" x14ac:dyDescent="0.25">
      <c r="B220">
        <v>191</v>
      </c>
      <c r="C220" s="2">
        <f t="shared" si="15"/>
        <v>100.02788699975785</v>
      </c>
      <c r="D220" s="2">
        <f t="shared" si="16"/>
        <v>1.6671314499959642</v>
      </c>
      <c r="E220" s="2">
        <f t="shared" si="17"/>
        <v>11.67</v>
      </c>
    </row>
    <row r="221" spans="2:5" x14ac:dyDescent="0.25">
      <c r="B221">
        <v>192</v>
      </c>
      <c r="C221" s="2">
        <f t="shared" si="15"/>
        <v>90.025018449753816</v>
      </c>
      <c r="D221" s="2">
        <f t="shared" si="16"/>
        <v>1.5004169741625635</v>
      </c>
      <c r="E221" s="2">
        <f t="shared" si="17"/>
        <v>11.5</v>
      </c>
    </row>
    <row r="222" spans="2:5" x14ac:dyDescent="0.25">
      <c r="B222">
        <v>193</v>
      </c>
      <c r="C222" s="2">
        <f t="shared" si="15"/>
        <v>80.025435423916377</v>
      </c>
      <c r="D222" s="2">
        <f t="shared" si="16"/>
        <v>1.3337572570652729</v>
      </c>
      <c r="E222" s="2">
        <f t="shared" si="17"/>
        <v>11.33</v>
      </c>
    </row>
    <row r="223" spans="2:5" x14ac:dyDescent="0.25">
      <c r="B223">
        <v>194</v>
      </c>
      <c r="C223" s="2">
        <f t="shared" si="15"/>
        <v>70.029192680981652</v>
      </c>
      <c r="D223" s="2">
        <f t="shared" si="16"/>
        <v>1.1671532113496941</v>
      </c>
      <c r="E223" s="2">
        <f t="shared" si="17"/>
        <v>11.17</v>
      </c>
    </row>
    <row r="224" spans="2:5" x14ac:dyDescent="0.25">
      <c r="B224">
        <v>195</v>
      </c>
      <c r="C224" s="2">
        <f t="shared" si="15"/>
        <v>60.026345892331349</v>
      </c>
      <c r="D224" s="2">
        <f t="shared" si="16"/>
        <v>1.0004390982055225</v>
      </c>
      <c r="E224" s="2">
        <f t="shared" si="17"/>
        <v>11</v>
      </c>
    </row>
    <row r="225" spans="2:5" x14ac:dyDescent="0.25">
      <c r="B225">
        <v>196</v>
      </c>
      <c r="C225" s="2">
        <f t="shared" si="15"/>
        <v>50.026784990536875</v>
      </c>
      <c r="D225" s="2">
        <f t="shared" si="16"/>
        <v>0.8337797498422812</v>
      </c>
      <c r="E225" s="2">
        <f t="shared" si="17"/>
        <v>10.83</v>
      </c>
    </row>
    <row r="226" spans="2:5" x14ac:dyDescent="0.25">
      <c r="B226">
        <v>197</v>
      </c>
      <c r="C226" s="2">
        <f t="shared" ref="C226:C231" si="18">C225+D225-E225</f>
        <v>40.030564740379155</v>
      </c>
      <c r="D226" s="2">
        <f t="shared" ref="D226:D231" si="19">C226*$D$28</f>
        <v>0.66717607900631926</v>
      </c>
      <c r="E226" s="2">
        <f t="shared" ref="E226:E231" si="20">ROUND(IF(C226&gt;10,10,C226)+D226,2)</f>
        <v>10.67</v>
      </c>
    </row>
    <row r="227" spans="2:5" x14ac:dyDescent="0.25">
      <c r="B227">
        <v>198</v>
      </c>
      <c r="C227" s="2">
        <f t="shared" si="18"/>
        <v>30.027740819385471</v>
      </c>
      <c r="D227" s="2">
        <f t="shared" si="19"/>
        <v>0.50046234698975789</v>
      </c>
      <c r="E227" s="2">
        <f t="shared" si="20"/>
        <v>10.5</v>
      </c>
    </row>
    <row r="228" spans="2:5" x14ac:dyDescent="0.25">
      <c r="B228">
        <v>199</v>
      </c>
      <c r="C228" s="2">
        <f t="shared" si="18"/>
        <v>20.028203166375228</v>
      </c>
      <c r="D228" s="2">
        <f t="shared" si="19"/>
        <v>0.33380338610625382</v>
      </c>
      <c r="E228" s="2">
        <f t="shared" si="20"/>
        <v>10.33</v>
      </c>
    </row>
    <row r="229" spans="2:5" x14ac:dyDescent="0.25">
      <c r="B229">
        <v>200</v>
      </c>
      <c r="C229" s="2">
        <f t="shared" si="18"/>
        <v>10.032006552481482</v>
      </c>
      <c r="D229" s="2">
        <f t="shared" si="19"/>
        <v>0.16720010920802469</v>
      </c>
      <c r="E229" s="2">
        <f t="shared" si="20"/>
        <v>10.17</v>
      </c>
    </row>
    <row r="230" spans="2:5" x14ac:dyDescent="0.25">
      <c r="B230">
        <v>201</v>
      </c>
      <c r="C230" s="2">
        <f t="shared" si="18"/>
        <v>2.920666168950703E-2</v>
      </c>
      <c r="D230" s="2">
        <f t="shared" si="19"/>
        <v>4.8677769482511718E-4</v>
      </c>
      <c r="E230" s="2">
        <f t="shared" si="20"/>
        <v>0.03</v>
      </c>
    </row>
    <row r="231" spans="2:5" x14ac:dyDescent="0.25">
      <c r="B231">
        <v>202</v>
      </c>
      <c r="C231" s="2">
        <f t="shared" si="18"/>
        <v>-3.0656061566785089E-4</v>
      </c>
      <c r="D231" s="2">
        <f t="shared" si="19"/>
        <v>-5.1093435944641816E-6</v>
      </c>
      <c r="E231" s="2">
        <f t="shared" si="20"/>
        <v>0</v>
      </c>
    </row>
    <row r="232" spans="2:5" x14ac:dyDescent="0.25">
      <c r="C232" s="2"/>
      <c r="D232" s="2"/>
      <c r="E232" s="2"/>
    </row>
    <row r="233" spans="2:5" x14ac:dyDescent="0.25">
      <c r="C233" s="2"/>
      <c r="D233" s="2"/>
      <c r="E233" s="2"/>
    </row>
    <row r="234" spans="2:5" x14ac:dyDescent="0.25">
      <c r="C234" s="2"/>
      <c r="D234" s="2"/>
      <c r="E234" s="2"/>
    </row>
    <row r="235" spans="2:5" x14ac:dyDescent="0.25">
      <c r="C235" s="2"/>
      <c r="D235" s="2"/>
      <c r="E235" s="2"/>
    </row>
    <row r="236" spans="2:5" x14ac:dyDescent="0.25">
      <c r="C236" s="2"/>
      <c r="D236" s="2"/>
      <c r="E236" s="2"/>
    </row>
    <row r="237" spans="2:5" x14ac:dyDescent="0.25">
      <c r="C237" s="2"/>
      <c r="D237" s="2"/>
      <c r="E237" s="2"/>
    </row>
    <row r="238" spans="2:5" x14ac:dyDescent="0.25">
      <c r="C238" s="2"/>
      <c r="D238" s="2"/>
      <c r="E238" s="2"/>
    </row>
    <row r="239" spans="2:5" x14ac:dyDescent="0.25">
      <c r="C239" s="2"/>
      <c r="D239" s="2"/>
      <c r="E239" s="2"/>
    </row>
    <row r="240" spans="2:5" x14ac:dyDescent="0.25">
      <c r="C240" s="2"/>
      <c r="D240" s="2"/>
      <c r="E240" s="2"/>
    </row>
    <row r="241" spans="3:5" x14ac:dyDescent="0.25">
      <c r="C241" s="2"/>
      <c r="D241" s="2"/>
      <c r="E241" s="2"/>
    </row>
    <row r="242" spans="3:5" x14ac:dyDescent="0.25">
      <c r="C242" s="2"/>
      <c r="D242" s="2"/>
      <c r="E242" s="2"/>
    </row>
    <row r="243" spans="3:5" x14ac:dyDescent="0.25">
      <c r="C243" s="2"/>
      <c r="D243" s="2"/>
      <c r="E243" s="2"/>
    </row>
    <row r="244" spans="3:5" x14ac:dyDescent="0.25">
      <c r="C244" s="2"/>
      <c r="D244" s="2"/>
      <c r="E244" s="2"/>
    </row>
    <row r="245" spans="3:5" x14ac:dyDescent="0.25">
      <c r="C245" s="2"/>
      <c r="D245" s="2"/>
      <c r="E245" s="2"/>
    </row>
    <row r="246" spans="3:5" x14ac:dyDescent="0.25">
      <c r="C246" s="2"/>
      <c r="D246" s="2"/>
      <c r="E246" s="2"/>
    </row>
    <row r="247" spans="3:5" x14ac:dyDescent="0.25">
      <c r="C247" s="2"/>
      <c r="D247" s="2"/>
      <c r="E247" s="2"/>
    </row>
    <row r="248" spans="3:5" x14ac:dyDescent="0.25">
      <c r="C248" s="2"/>
      <c r="D248" s="2"/>
      <c r="E248" s="2"/>
    </row>
    <row r="249" spans="3:5" x14ac:dyDescent="0.25">
      <c r="C249" s="2"/>
      <c r="D249" s="2"/>
      <c r="E249" s="2"/>
    </row>
    <row r="250" spans="3:5" x14ac:dyDescent="0.25">
      <c r="C250" s="2"/>
      <c r="D250" s="2"/>
      <c r="E250" s="2"/>
    </row>
    <row r="251" spans="3:5" x14ac:dyDescent="0.25">
      <c r="C251" s="2"/>
      <c r="D251" s="2"/>
      <c r="E251" s="2"/>
    </row>
    <row r="252" spans="3:5" x14ac:dyDescent="0.25">
      <c r="C252" s="2"/>
      <c r="D252" s="2"/>
      <c r="E252" s="2"/>
    </row>
    <row r="253" spans="3:5" x14ac:dyDescent="0.25">
      <c r="C253" s="2"/>
      <c r="D253" s="2"/>
      <c r="E253" s="2"/>
    </row>
    <row r="254" spans="3:5" x14ac:dyDescent="0.25">
      <c r="C254" s="2"/>
      <c r="D254" s="2"/>
      <c r="E254" s="2"/>
    </row>
    <row r="255" spans="3:5" x14ac:dyDescent="0.25">
      <c r="C255" s="2"/>
      <c r="D255" s="2"/>
      <c r="E255" s="2"/>
    </row>
    <row r="256" spans="3:5" x14ac:dyDescent="0.25">
      <c r="C256" s="2"/>
      <c r="D256" s="2"/>
      <c r="E256" s="2"/>
    </row>
    <row r="257" spans="3:5" x14ac:dyDescent="0.25">
      <c r="C257" s="2"/>
      <c r="D257" s="2"/>
      <c r="E257" s="2"/>
    </row>
    <row r="258" spans="3:5" x14ac:dyDescent="0.25">
      <c r="C258" s="2"/>
      <c r="D258" s="2"/>
      <c r="E258" s="2"/>
    </row>
    <row r="259" spans="3:5" x14ac:dyDescent="0.25">
      <c r="C259" s="2"/>
      <c r="D259" s="2"/>
      <c r="E259" s="2"/>
    </row>
    <row r="260" spans="3:5" x14ac:dyDescent="0.25">
      <c r="C260" s="2"/>
      <c r="D260" s="2"/>
      <c r="E260" s="2"/>
    </row>
    <row r="261" spans="3:5" x14ac:dyDescent="0.25">
      <c r="C261" s="2"/>
      <c r="D261" s="2"/>
      <c r="E261" s="2"/>
    </row>
    <row r="262" spans="3:5" x14ac:dyDescent="0.25">
      <c r="C262" s="2"/>
      <c r="D262" s="2"/>
      <c r="E262" s="2"/>
    </row>
    <row r="263" spans="3:5" x14ac:dyDescent="0.25">
      <c r="C263" s="2"/>
      <c r="D263" s="2"/>
      <c r="E263" s="2"/>
    </row>
    <row r="264" spans="3:5" x14ac:dyDescent="0.25">
      <c r="C264" s="2"/>
      <c r="D264" s="2"/>
      <c r="E264" s="2"/>
    </row>
    <row r="265" spans="3:5" x14ac:dyDescent="0.25">
      <c r="C265" s="2"/>
      <c r="D265" s="2"/>
      <c r="E265" s="2"/>
    </row>
    <row r="266" spans="3:5" x14ac:dyDescent="0.25">
      <c r="C266" s="2"/>
      <c r="D266" s="2"/>
      <c r="E266" s="2"/>
    </row>
    <row r="267" spans="3:5" x14ac:dyDescent="0.25">
      <c r="C267" s="2"/>
      <c r="D267" s="2"/>
      <c r="E267" s="2"/>
    </row>
    <row r="268" spans="3:5" x14ac:dyDescent="0.25">
      <c r="C268" s="2"/>
      <c r="D268" s="2"/>
      <c r="E268" s="2"/>
    </row>
    <row r="269" spans="3:5" x14ac:dyDescent="0.25">
      <c r="C269" s="2"/>
      <c r="D269" s="2"/>
      <c r="E269" s="2"/>
    </row>
    <row r="270" spans="3:5" x14ac:dyDescent="0.25">
      <c r="C270" s="2"/>
      <c r="D270" s="2"/>
      <c r="E270" s="2"/>
    </row>
    <row r="271" spans="3:5" x14ac:dyDescent="0.25">
      <c r="C271" s="2"/>
      <c r="D271" s="2"/>
      <c r="E271" s="2"/>
    </row>
    <row r="272" spans="3:5" x14ac:dyDescent="0.25">
      <c r="C272" s="2"/>
      <c r="D272" s="2"/>
      <c r="E272" s="2"/>
    </row>
    <row r="273" spans="3:5" x14ac:dyDescent="0.25">
      <c r="C273" s="2"/>
      <c r="D273" s="2"/>
      <c r="E273" s="2"/>
    </row>
    <row r="274" spans="3:5" x14ac:dyDescent="0.25">
      <c r="C274" s="2"/>
      <c r="D274" s="2"/>
      <c r="E274" s="2"/>
    </row>
    <row r="275" spans="3:5" x14ac:dyDescent="0.25">
      <c r="C275" s="2"/>
      <c r="D275" s="2"/>
      <c r="E275" s="2"/>
    </row>
    <row r="276" spans="3:5" x14ac:dyDescent="0.25">
      <c r="C276" s="2"/>
      <c r="D276" s="2"/>
      <c r="E276" s="2"/>
    </row>
    <row r="277" spans="3:5" x14ac:dyDescent="0.25">
      <c r="C277" s="2"/>
      <c r="D277" s="2"/>
      <c r="E277" s="2"/>
    </row>
    <row r="278" spans="3:5" x14ac:dyDescent="0.25">
      <c r="C278" s="2"/>
      <c r="D278" s="2"/>
      <c r="E278" s="2"/>
    </row>
    <row r="279" spans="3:5" x14ac:dyDescent="0.25">
      <c r="C279" s="2"/>
      <c r="D279" s="2"/>
      <c r="E279" s="2"/>
    </row>
    <row r="280" spans="3:5" x14ac:dyDescent="0.25">
      <c r="C280" s="2"/>
      <c r="D280" s="2"/>
      <c r="E280" s="2"/>
    </row>
    <row r="281" spans="3:5" x14ac:dyDescent="0.25">
      <c r="C281" s="2"/>
      <c r="D281" s="2"/>
      <c r="E281" s="2"/>
    </row>
    <row r="282" spans="3:5" x14ac:dyDescent="0.25">
      <c r="C282" s="2"/>
      <c r="D282" s="2"/>
      <c r="E282" s="2"/>
    </row>
    <row r="283" spans="3:5" x14ac:dyDescent="0.25">
      <c r="C283" s="2"/>
      <c r="D283" s="2"/>
      <c r="E283" s="2"/>
    </row>
    <row r="284" spans="3:5" x14ac:dyDescent="0.25">
      <c r="C284" s="2"/>
      <c r="D284" s="2"/>
      <c r="E284" s="2"/>
    </row>
    <row r="285" spans="3:5" x14ac:dyDescent="0.25">
      <c r="C285" s="2"/>
      <c r="D285" s="2"/>
      <c r="E285" s="2"/>
    </row>
    <row r="286" spans="3:5" x14ac:dyDescent="0.25">
      <c r="C286" s="2"/>
      <c r="D286" s="2"/>
      <c r="E286" s="2"/>
    </row>
    <row r="287" spans="3:5" x14ac:dyDescent="0.25">
      <c r="C287" s="2"/>
      <c r="D287" s="2"/>
      <c r="E287" s="2"/>
    </row>
    <row r="288" spans="3:5" x14ac:dyDescent="0.25">
      <c r="C288" s="2"/>
      <c r="D288" s="2"/>
      <c r="E288" s="2"/>
    </row>
    <row r="289" spans="3:5" x14ac:dyDescent="0.25">
      <c r="C289" s="2"/>
      <c r="D289" s="2"/>
      <c r="E289" s="2"/>
    </row>
    <row r="290" spans="3:5" x14ac:dyDescent="0.25">
      <c r="C290" s="2"/>
      <c r="D290" s="2"/>
      <c r="E290" s="2"/>
    </row>
    <row r="291" spans="3:5" x14ac:dyDescent="0.25">
      <c r="C291" s="2"/>
      <c r="D291" s="2"/>
      <c r="E291" s="2"/>
    </row>
    <row r="292" spans="3:5" x14ac:dyDescent="0.25">
      <c r="C292" s="2"/>
      <c r="D292" s="2"/>
      <c r="E292" s="2"/>
    </row>
    <row r="293" spans="3:5" x14ac:dyDescent="0.25">
      <c r="C293" s="2"/>
      <c r="D293" s="2"/>
      <c r="E293" s="2"/>
    </row>
    <row r="294" spans="3:5" x14ac:dyDescent="0.25">
      <c r="C294" s="2"/>
      <c r="D294" s="2"/>
      <c r="E294" s="2"/>
    </row>
    <row r="295" spans="3:5" x14ac:dyDescent="0.25">
      <c r="C295" s="2"/>
      <c r="D295" s="2"/>
      <c r="E295" s="2"/>
    </row>
    <row r="296" spans="3:5" x14ac:dyDescent="0.25">
      <c r="C296" s="2"/>
      <c r="D296" s="2"/>
      <c r="E296" s="2"/>
    </row>
    <row r="297" spans="3:5" x14ac:dyDescent="0.25">
      <c r="C297" s="2"/>
      <c r="D297" s="2"/>
      <c r="E297" s="2"/>
    </row>
    <row r="298" spans="3:5" x14ac:dyDescent="0.25">
      <c r="C298" s="2"/>
      <c r="D298" s="2"/>
      <c r="E298" s="2"/>
    </row>
    <row r="299" spans="3:5" x14ac:dyDescent="0.25">
      <c r="C299" s="2"/>
      <c r="D299" s="2"/>
      <c r="E299" s="2"/>
    </row>
    <row r="300" spans="3:5" x14ac:dyDescent="0.25">
      <c r="C300" s="2"/>
      <c r="D300" s="2"/>
      <c r="E300" s="2"/>
    </row>
    <row r="301" spans="3:5" x14ac:dyDescent="0.25">
      <c r="C301" s="2"/>
      <c r="D301" s="2"/>
      <c r="E301" s="2"/>
    </row>
    <row r="302" spans="3:5" x14ac:dyDescent="0.25">
      <c r="C302" s="2"/>
      <c r="D302" s="2"/>
      <c r="E302" s="2"/>
    </row>
    <row r="303" spans="3:5" x14ac:dyDescent="0.25">
      <c r="C303" s="2"/>
      <c r="D303" s="2"/>
      <c r="E303" s="2"/>
    </row>
    <row r="304" spans="3:5" x14ac:dyDescent="0.25">
      <c r="C304" s="2"/>
      <c r="D304" s="2"/>
      <c r="E304" s="2"/>
    </row>
    <row r="305" spans="3:5" x14ac:dyDescent="0.25">
      <c r="C305" s="2"/>
      <c r="D305" s="2"/>
      <c r="E305" s="2"/>
    </row>
    <row r="306" spans="3:5" x14ac:dyDescent="0.25">
      <c r="C306" s="2"/>
      <c r="D306" s="2"/>
      <c r="E306" s="2"/>
    </row>
    <row r="307" spans="3:5" x14ac:dyDescent="0.25">
      <c r="C307" s="2"/>
      <c r="D307" s="2"/>
      <c r="E307" s="2"/>
    </row>
    <row r="308" spans="3:5" x14ac:dyDescent="0.25">
      <c r="C308" s="2"/>
      <c r="D308" s="2"/>
      <c r="E308" s="2"/>
    </row>
    <row r="309" spans="3:5" x14ac:dyDescent="0.25">
      <c r="C309" s="2"/>
      <c r="D309" s="2"/>
      <c r="E309" s="2"/>
    </row>
    <row r="310" spans="3:5" x14ac:dyDescent="0.25">
      <c r="C310" s="2"/>
      <c r="D310" s="2"/>
      <c r="E310" s="2"/>
    </row>
    <row r="311" spans="3:5" x14ac:dyDescent="0.25">
      <c r="C311" s="2"/>
      <c r="D311" s="2"/>
      <c r="E311" s="2"/>
    </row>
    <row r="312" spans="3:5" x14ac:dyDescent="0.25">
      <c r="C312" s="2"/>
      <c r="D312" s="2"/>
      <c r="E312" s="2"/>
    </row>
    <row r="313" spans="3:5" x14ac:dyDescent="0.25">
      <c r="C313" s="2"/>
      <c r="D313" s="2"/>
      <c r="E313" s="2"/>
    </row>
    <row r="314" spans="3:5" x14ac:dyDescent="0.25">
      <c r="C314" s="2"/>
      <c r="D314" s="2"/>
      <c r="E314" s="2"/>
    </row>
    <row r="315" spans="3:5" x14ac:dyDescent="0.25">
      <c r="C315" s="2"/>
      <c r="D315" s="2"/>
      <c r="E315" s="2"/>
    </row>
    <row r="316" spans="3:5" x14ac:dyDescent="0.25">
      <c r="C316" s="2"/>
      <c r="D316" s="2"/>
      <c r="E316" s="2"/>
    </row>
    <row r="317" spans="3:5" x14ac:dyDescent="0.25">
      <c r="C317" s="2"/>
      <c r="D317" s="2"/>
      <c r="E317" s="2"/>
    </row>
    <row r="318" spans="3:5" x14ac:dyDescent="0.25">
      <c r="C318" s="2"/>
      <c r="D318" s="2"/>
      <c r="E318" s="2"/>
    </row>
    <row r="319" spans="3:5" x14ac:dyDescent="0.25">
      <c r="C319" s="2"/>
      <c r="D319" s="2"/>
      <c r="E319" s="2"/>
    </row>
    <row r="320" spans="3:5" x14ac:dyDescent="0.25">
      <c r="C320" s="2"/>
      <c r="D320" s="2"/>
      <c r="E320" s="2"/>
    </row>
    <row r="321" spans="3:5" x14ac:dyDescent="0.25">
      <c r="C321" s="2"/>
      <c r="D321" s="2"/>
      <c r="E321" s="2"/>
    </row>
    <row r="322" spans="3:5" x14ac:dyDescent="0.25">
      <c r="C322" s="3"/>
      <c r="D322" s="3"/>
    </row>
    <row r="323" spans="3:5" x14ac:dyDescent="0.25">
      <c r="C323" s="3"/>
      <c r="D323" s="3"/>
    </row>
    <row r="324" spans="3:5" x14ac:dyDescent="0.25">
      <c r="C324" s="3"/>
      <c r="D324" s="3"/>
    </row>
    <row r="325" spans="3:5" x14ac:dyDescent="0.25">
      <c r="C325" s="3"/>
      <c r="D325" s="3"/>
    </row>
    <row r="326" spans="3:5" x14ac:dyDescent="0.25">
      <c r="C326" s="3"/>
      <c r="D326" s="3"/>
    </row>
    <row r="327" spans="3:5" x14ac:dyDescent="0.25">
      <c r="C327" s="3"/>
      <c r="D327" s="3"/>
    </row>
    <row r="328" spans="3:5" x14ac:dyDescent="0.25">
      <c r="C328" s="3"/>
      <c r="D328" s="3"/>
    </row>
    <row r="329" spans="3:5" x14ac:dyDescent="0.25">
      <c r="C329" s="3"/>
      <c r="D329" s="3"/>
    </row>
    <row r="330" spans="3:5" x14ac:dyDescent="0.25">
      <c r="C330" s="3"/>
      <c r="D330" s="3"/>
    </row>
    <row r="331" spans="3:5" x14ac:dyDescent="0.25">
      <c r="C331" s="3"/>
      <c r="D331" s="3"/>
    </row>
    <row r="332" spans="3:5" x14ac:dyDescent="0.25">
      <c r="C332" s="3"/>
      <c r="D332" s="3"/>
    </row>
    <row r="333" spans="3:5" x14ac:dyDescent="0.25">
      <c r="C333" s="3"/>
      <c r="D333" s="3"/>
    </row>
    <row r="334" spans="3:5" x14ac:dyDescent="0.25">
      <c r="C334" s="3"/>
      <c r="D334" s="3"/>
    </row>
    <row r="335" spans="3:5" x14ac:dyDescent="0.25">
      <c r="C335" s="3"/>
      <c r="D335" s="3"/>
    </row>
    <row r="336" spans="3:5" x14ac:dyDescent="0.25">
      <c r="C336" s="3"/>
      <c r="D336" s="3"/>
    </row>
    <row r="337" spans="3:4" x14ac:dyDescent="0.25">
      <c r="C337" s="3"/>
      <c r="D337" s="3"/>
    </row>
    <row r="338" spans="3:4" x14ac:dyDescent="0.25">
      <c r="C338" s="3"/>
      <c r="D338" s="3"/>
    </row>
    <row r="339" spans="3:4" x14ac:dyDescent="0.25">
      <c r="C339" s="3"/>
      <c r="D339" s="3"/>
    </row>
    <row r="340" spans="3:4" x14ac:dyDescent="0.25">
      <c r="C340" s="3"/>
      <c r="D340" s="3"/>
    </row>
    <row r="341" spans="3:4" x14ac:dyDescent="0.25">
      <c r="C341" s="3"/>
      <c r="D341" s="3"/>
    </row>
  </sheetData>
  <mergeCells count="4">
    <mergeCell ref="J2:K2"/>
    <mergeCell ref="J15:K15"/>
    <mergeCell ref="C23:G23"/>
    <mergeCell ref="C24:G24"/>
  </mergeCells>
  <pageMargins left="0.7" right="0.7" top="0.75" bottom="0.75" header="0.3" footer="0.3"/>
  <pageSetup scale="45" fitToHeight="0" orientation="landscape" r:id="rId1"/>
  <rowBreaks count="1" manualBreakCount="1">
    <brk id="37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Compound Interest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Perry R. James</dc:creator>
  <cp:keywords/>
  <dc:description/>
  <cp:lastModifiedBy>Meerab Khan</cp:lastModifiedBy>
  <cp:revision/>
  <cp:lastPrinted>2023-11-02T15:08:22Z</cp:lastPrinted>
  <dcterms:created xsi:type="dcterms:W3CDTF">2016-11-20T21:31:39Z</dcterms:created>
  <dcterms:modified xsi:type="dcterms:W3CDTF">2023-11-02T15:09:26Z</dcterms:modified>
  <cp:category/>
  <cp:contentStatus/>
</cp:coreProperties>
</file>